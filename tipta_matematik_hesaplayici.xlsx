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 Sayfa" sheetId="1" state="visible" r:id="rId3"/>
    <sheet name="VKİ" sheetId="2" state="visible" r:id="rId4"/>
    <sheet name="Vücut Yüzey Alanı" sheetId="3" state="visible" r:id="rId5"/>
    <sheet name="İlaç Yarılanma Ömrü" sheetId="4" state="visible" r:id="rId6"/>
    <sheet name="SIR Salgın Simülasyonu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Bir hastanın günde ortalama kaç kişiye hastalık bulaştırdığını gösterir.</t>
        </r>
      </text>
    </comment>
    <comment ref="B13" authorId="0">
      <text>
        <r>
          <rPr>
            <sz val="10"/>
            <rFont val="Arial"/>
            <family val="2"/>
          </rPr>
          <t xml:space="preserve">Hastaların her gün iyileşen oranı. 1/γ = ortalama hastalık süresi (gün).</t>
        </r>
      </text>
    </comment>
  </commentList>
</comments>
</file>

<file path=xl/sharedStrings.xml><?xml version="1.0" encoding="utf-8"?>
<sst xmlns="http://schemas.openxmlformats.org/spreadsheetml/2006/main" count="158" uniqueCount="128">
  <si>
    <t xml:space="preserve">TIPTA MATEMATİK — Medikal Hesaplayıcı</t>
  </si>
  <si>
    <t xml:space="preserve">Lise Matematik Projesi</t>
  </si>
  <si>
    <t xml:space="preserve">Proje Hakkında</t>
  </si>
  <si>
    <t xml:space="preserve">Matematik, tıbbın her alanında kullanılır: hastanın kilosunu değerlendirmekten ilaç dozu belirlemeye, salgınların yayılmasını tahmin etmekten tedavi planlamaya kadar. Bu çalışma kitabında dört temel tıbbi hesaplama, gerçek Excel formülleriyle uygulanmıştır. Sarı hücrelere kendi değerlerinizi girin; yeşil hücreler, tablolar ve grafikler otomatik olarak güncellenir.</t>
  </si>
  <si>
    <t xml:space="preserve">Hesaplayıcılar</t>
  </si>
  <si>
    <t xml:space="preserve">Sayfa (tıklayın)</t>
  </si>
  <si>
    <t xml:space="preserve">Ne hesaplar?</t>
  </si>
  <si>
    <t xml:space="preserve">Matematik konusu</t>
  </si>
  <si>
    <t xml:space="preserve">1) Vücut Kitle İndeksi</t>
  </si>
  <si>
    <t xml:space="preserve">Kilo ve boydan VKİ ile kilo sınıfı</t>
  </si>
  <si>
    <t xml:space="preserve">Kare alma, oran</t>
  </si>
  <si>
    <t xml:space="preserve">2) Vücut Yüzey Alanı</t>
  </si>
  <si>
    <t xml:space="preserve">Mosteller formülüyle vücut yüzey alanı (m²)</t>
  </si>
  <si>
    <t xml:space="preserve">Karekök fonksiyonu</t>
  </si>
  <si>
    <t xml:space="preserve">3) İlaç Yarılanma Ömrü</t>
  </si>
  <si>
    <t xml:space="preserve">0–48 saat arası vücutta kalan ilaç miktarı</t>
  </si>
  <si>
    <t xml:space="preserve">Üstel fonksiyon</t>
  </si>
  <si>
    <t xml:space="preserve">4) SIR Salgın Simülasyonu</t>
  </si>
  <si>
    <t xml:space="preserve">100 günlük salgın: sağlıklı, hasta, iyileşen</t>
  </si>
  <si>
    <t xml:space="preserve">Diferansiyel denklem, dizi</t>
  </si>
  <si>
    <t xml:space="preserve">Nasıl Kullanılır?</t>
  </si>
  <si>
    <t xml:space="preserve">1. Yukarıdaki bağlantılardan bir sayfa seçin (ya da alttaki sekmeleri kullanın).</t>
  </si>
  <si>
    <t xml:space="preserve">2. Sarı hücrelere kendi değerlerinizi yazın (örnek değerler girilmiştir).</t>
  </si>
  <si>
    <t xml:space="preserve">3. Yeşil hücrelerdeki sonuçlar, tablolar ve grafikler kendiliğinden güncellenir.</t>
  </si>
  <si>
    <t xml:space="preserve">4. Her sayfadaki mavi kutu, kullanılan matematiksel formülü gösterir.</t>
  </si>
  <si>
    <t xml:space="preserve">Renk Açıklaması</t>
  </si>
  <si>
    <t xml:space="preserve">Giriş hücresi</t>
  </si>
  <si>
    <t xml:space="preserve">Değerini siz girersiniz (mavi yazı)</t>
  </si>
  <si>
    <t xml:space="preserve">Sonuç hücresi</t>
  </si>
  <si>
    <t xml:space="preserve">Formülle otomatik hesaplanır, değiştirmeyin</t>
  </si>
  <si>
    <t xml:space="preserve">Formül kutusu</t>
  </si>
  <si>
    <t xml:space="preserve">Kullanılan matematiksel formül</t>
  </si>
  <si>
    <t xml:space="preserve">Not: Bu çalışma kitabı eğitim amaçlıdır; tıbbi tanı veya tedavi için kullanılamaz.</t>
  </si>
  <si>
    <t xml:space="preserve">1) VÜCUT KİTLE İNDEKSİ (VKİ)</t>
  </si>
  <si>
    <t xml:space="preserve">Kilonun boya göre uygun olup olmadığını gösteren tıbbi ölçüt</t>
  </si>
  <si>
    <t xml:space="preserve">← Ana Sayfaya Dön</t>
  </si>
  <si>
    <t xml:space="preserve">VKİ = kilo (kg) ÷ boy² (m²)</t>
  </si>
  <si>
    <t xml:space="preserve">Girişler</t>
  </si>
  <si>
    <t xml:space="preserve">VKİ Aralığı</t>
  </si>
  <si>
    <t xml:space="preserve">Sınıf</t>
  </si>
  <si>
    <t xml:space="preserve">Kilo</t>
  </si>
  <si>
    <t xml:space="preserve">kg</t>
  </si>
  <si>
    <t xml:space="preserve">VKİ &lt; 18,5</t>
  </si>
  <si>
    <t xml:space="preserve">Zayıf</t>
  </si>
  <si>
    <t xml:space="preserve">Boy</t>
  </si>
  <si>
    <t xml:space="preserve">cm</t>
  </si>
  <si>
    <t xml:space="preserve">18,5 ≤ VKİ &lt; 25</t>
  </si>
  <si>
    <t xml:space="preserve">Normal</t>
  </si>
  <si>
    <t xml:space="preserve">25 ≤ VKİ &lt; 30</t>
  </si>
  <si>
    <t xml:space="preserve">Fazla kilolu</t>
  </si>
  <si>
    <t xml:space="preserve">Hesaplama Adımları</t>
  </si>
  <si>
    <t xml:space="preserve">VKİ ≥ 30</t>
  </si>
  <si>
    <t xml:space="preserve">Obez</t>
  </si>
  <si>
    <t xml:space="preserve">Boy (metre) = boy ÷ 100</t>
  </si>
  <si>
    <t xml:space="preserve">m</t>
  </si>
  <si>
    <t xml:space="preserve">Kaynak: Dünya Sağlık Örgütü (DSÖ) yetişkin VKİ sınıflandırması.</t>
  </si>
  <si>
    <t xml:space="preserve">Boy² (m²)</t>
  </si>
  <si>
    <t xml:space="preserve">m²</t>
  </si>
  <si>
    <t xml:space="preserve">VKİ = kilo ÷ boy²</t>
  </si>
  <si>
    <t xml:space="preserve">kg/m²</t>
  </si>
  <si>
    <t xml:space="preserve">Sınıflandırma</t>
  </si>
  <si>
    <t xml:space="preserve">Açıklama: Boy metreye çevrilip karesi alınır, kilo bu sayıya bölünür. Sonuç hücresinin rengi sınıfa göre otomatik değişir; tabloda ilgili satır kalın çerçeveyle işaretlenir.</t>
  </si>
  <si>
    <t xml:space="preserve">Renk açıklaması:</t>
  </si>
  <si>
    <t xml:space="preserve">Giriş (değiştirin)</t>
  </si>
  <si>
    <t xml:space="preserve">Sonuç (formül)</t>
  </si>
  <si>
    <t xml:space="preserve">2) VÜCUT YÜZEY ALANI (Mosteller Formülü)</t>
  </si>
  <si>
    <t xml:space="preserve">Kemoterapi gibi ilaçların dozu, vücut yüzey alanına göre hesaplanır</t>
  </si>
  <si>
    <t xml:space="preserve">VYA = √( boy (cm) × kilo (kg) ÷ 3600 )     [m²]</t>
  </si>
  <si>
    <t xml:space="preserve">Bilgi</t>
  </si>
  <si>
    <t xml:space="preserve">• Yetişkinlerde ortalama VYA ≈ 1,7 – 1,9 m²</t>
  </si>
  <si>
    <t xml:space="preserve">• Mosteller formülü (1987), karekök</t>
  </si>
  <si>
    <t xml:space="preserve">  sayesinde hesap makinesiyle bile</t>
  </si>
  <si>
    <t xml:space="preserve">  kolayca hesaplanabilir.</t>
  </si>
  <si>
    <t xml:space="preserve">1. boy × kilo</t>
  </si>
  <si>
    <t xml:space="preserve">• 3600 sabiti, boy (cm) ve kilo (kg)</t>
  </si>
  <si>
    <t xml:space="preserve">2. (boy × kilo) ÷ 3600</t>
  </si>
  <si>
    <t xml:space="preserve">  ile sonucu m² olarak veren</t>
  </si>
  <si>
    <t xml:space="preserve">3. Vücut Yüzey Alanı = √(...)</t>
  </si>
  <si>
    <t xml:space="preserve">  deneysel bir sabittir.</t>
  </si>
  <si>
    <t xml:space="preserve">3) İLAÇ YARILANMA ÖMRÜ (Üstel Azalma)</t>
  </si>
  <si>
    <t xml:space="preserve">Vücuttaki ilaç miktarı her yarılanma süresinde yarıya iner</t>
  </si>
  <si>
    <t xml:space="preserve">C(t) = C₀ · (1/2)^(t / T)</t>
  </si>
  <si>
    <t xml:space="preserve">C₀ = başlangıç dozu,  T = yarılanma süresi,  t = geçen süre,  C(t) = t saat sonra kalan miktar</t>
  </si>
  <si>
    <t xml:space="preserve">Kalan Miktar Tablosu (0–48 saat)</t>
  </si>
  <si>
    <t xml:space="preserve">Zaman t (saat)</t>
  </si>
  <si>
    <t xml:space="preserve">Kalan C(t) (mg)</t>
  </si>
  <si>
    <t xml:space="preserve">Kalan (%)</t>
  </si>
  <si>
    <t xml:space="preserve">Başlangıç dozu (C₀)</t>
  </si>
  <si>
    <t xml:space="preserve">mg</t>
  </si>
  <si>
    <t xml:space="preserve">Yarılanma süresi (T)</t>
  </si>
  <si>
    <t xml:space="preserve">saat</t>
  </si>
  <si>
    <t xml:space="preserve">Sorgulanan zaman (t)</t>
  </si>
  <si>
    <t xml:space="preserve">Sonuçlar</t>
  </si>
  <si>
    <t xml:space="preserve">t saat sonra kalan miktar</t>
  </si>
  <si>
    <t xml:space="preserve">Kalan yüzde</t>
  </si>
  <si>
    <t xml:space="preserve">Geçen yarılanma sayısı (t/T)</t>
  </si>
  <si>
    <t xml:space="preserve">48 saat sonra kalan</t>
  </si>
  <si>
    <t xml:space="preserve">~%97 atılma süresi (5·T)</t>
  </si>
  <si>
    <t xml:space="preserve">Tıpta ilaç, 5 yarılanma ömrü sonunda vücuttan atılmış kabul edilir.</t>
  </si>
  <si>
    <t xml:space="preserve">Kırmızı kalın satırlar: yarılanma süresinin tam katları (ilaç yarıya iner).</t>
  </si>
  <si>
    <t xml:space="preserve">4) SIR SALGIN SİMÜLASYONU</t>
  </si>
  <si>
    <t xml:space="preserve">Bir salgının toplumda nasıl yayıldığını gösteren matematiksel model (Kermack–McKendrick, 1927)</t>
  </si>
  <si>
    <t xml:space="preserve">dS/dt = −β·S·I/N        dI/dt = β·S·I/N − γ·I        dR/dt = γ·I</t>
  </si>
  <si>
    <t xml:space="preserve">Günlük adım (Euler yöntemi):  S(n+1) = S(n) − β·S·I/N   |   I(n+1) = I(n) + β·S·I/N − γ·I   |   R(n+1) = R(n) + γ·I</t>
  </si>
  <si>
    <t xml:space="preserve">S = hastalanabilir (sağlıklı),  I = hasta (enfekte),  R = iyileşmiş (bağışık),  N = toplam nüfus,  R₀ = β / γ</t>
  </si>
  <si>
    <t xml:space="preserve">100 Günlük S-I-R Tablosu</t>
  </si>
  <si>
    <t xml:space="preserve">Toplam nüfus (N)</t>
  </si>
  <si>
    <t xml:space="preserve">kişi</t>
  </si>
  <si>
    <t xml:space="preserve">Başlangıçtaki hasta sayısı (I₀)</t>
  </si>
  <si>
    <t xml:space="preserve">Bulaşma oranı (β)</t>
  </si>
  <si>
    <t xml:space="preserve">1/gün</t>
  </si>
  <si>
    <t xml:space="preserve">İyileşme oranı (γ)</t>
  </si>
  <si>
    <t xml:space="preserve">Temel üreme sayısı R₀ = β / γ</t>
  </si>
  <si>
    <t xml:space="preserve">Her gün bir önceki günden hesaplanır →</t>
  </si>
  <si>
    <t xml:space="preserve">Salgın durumu</t>
  </si>
  <si>
    <t xml:space="preserve">Gün</t>
  </si>
  <si>
    <t xml:space="preserve">S (Sağlıklı)</t>
  </si>
  <si>
    <t xml:space="preserve">I (Hasta)</t>
  </si>
  <si>
    <t xml:space="preserve">R (İyileşmiş)</t>
  </si>
  <si>
    <t xml:space="preserve">Toplam (S+I+R)</t>
  </si>
  <si>
    <t xml:space="preserve">Ortalama hastalık süresi (1/γ)</t>
  </si>
  <si>
    <t xml:space="preserve">gün</t>
  </si>
  <si>
    <t xml:space="preserve">En yüksek hasta sayısı</t>
  </si>
  <si>
    <t xml:space="preserve">Zirve günü</t>
  </si>
  <si>
    <t xml:space="preserve">. gün</t>
  </si>
  <si>
    <t xml:space="preserve">100. gün sonunda hastalanmış toplam</t>
  </si>
  <si>
    <t xml:space="preserve">Nüfusa oranı</t>
  </si>
  <si>
    <t xml:space="preserve">Nasıl çalışır? Her satır bir günü gösterir. Bir günün değerleri, bir önceki günün değerlerinden hesaplanır (yineleme bağıntısı). Bu, diferansiyel denklemlerin Δt = 1 gün adımlı Euler yöntemiyle yaklaşık çözümüdür. Toplam sütunu her gün N'ye eşit kalır: salgında kimse kaybolmaz, sadece gruplar arasında yer değiştirir.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</si>
</sst>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"/>
    <numFmt numFmtId="166" formatCode="0"/>
    <numFmt numFmtId="167" formatCode="0.00"/>
    <numFmt numFmtId="168" formatCode="0.0000"/>
    <numFmt numFmtId="169" formatCode="@"/>
    <numFmt numFmtId="170" formatCode="#,##0.0"/>
    <numFmt numFmtId="171" formatCode="0.0%"/>
    <numFmt numFmtId="172" formatCode="0.00%"/>
    <numFmt numFmtId="173" formatCode="#,##0"/>
    <numFmt numFmtId="174" formatCode="0.0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3"/>
      <color rgb="FF2E75B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0563C1"/>
      </patternFill>
    </fill>
    <fill>
      <patternFill patternType="solid">
        <fgColor rgb="FFFFFF99"/>
        <bgColor rgb="FFFFE699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BDD7EE"/>
        <bgColor rgb="FFD9D9D9"/>
      </patternFill>
    </fill>
    <fill>
      <patternFill patternType="solid">
        <fgColor rgb="FFFFE699"/>
        <bgColor rgb="FFFFFF99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1F4E79"/>
      </font>
      <fill>
        <patternFill>
          <bgColor rgb="FFBDD7E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b val="1"/>
      </font>
      <border diagonalUp="false" diagonalDown="false">
        <left style="medium"/>
        <right style="medium"/>
        <top style="medium"/>
        <bottom style="medium"/>
        <diagonal/>
      </border>
    </dxf>
    <dxf>
      <font>
        <b val="1"/>
        <color rgb="FFC00000"/>
      </font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D9D9D9"/>
      <rgbColor rgb="FF878787"/>
      <rgbColor rgb="FF9999FF"/>
      <rgbColor rgb="FF993366"/>
      <rgbColor rgb="FFF2F2F2"/>
      <rgbColor rgb="FFDD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699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70AD47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Kalan İlaç Miktarı – Üstel Azalma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'İlaç Yarılanma Ömrü'!F8</c:f>
              <c:strCache>
                <c:ptCount val="1"/>
                <c:pt idx="0">
                  <c:v>Kalan C(t) (mg)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'İlaç Yarılanma Ömrü'!$E$9:$E$57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'İlaç Yarılanma Ömrü'!$F$9:$F$57</c:f>
              <c:numCache>
                <c:formatCode>0.00</c:formatCode>
                <c:ptCount val="49"/>
                <c:pt idx="0">
                  <c:v>500</c:v>
                </c:pt>
                <c:pt idx="1">
                  <c:v>445.44935907017</c:v>
                </c:pt>
                <c:pt idx="2">
                  <c:v>396.85026299205</c:v>
                </c:pt>
                <c:pt idx="3">
                  <c:v>353.553390593274</c:v>
                </c:pt>
                <c:pt idx="4">
                  <c:v>314.980262473718</c:v>
                </c:pt>
                <c:pt idx="5">
                  <c:v>280.615512077343</c:v>
                </c:pt>
                <c:pt idx="6">
                  <c:v>250</c:v>
                </c:pt>
                <c:pt idx="7">
                  <c:v>222.724679535085</c:v>
                </c:pt>
                <c:pt idx="8">
                  <c:v>198.425131496025</c:v>
                </c:pt>
                <c:pt idx="9">
                  <c:v>176.776695296637</c:v>
                </c:pt>
                <c:pt idx="10">
                  <c:v>157.490131236859</c:v>
                </c:pt>
                <c:pt idx="11">
                  <c:v>140.307756038672</c:v>
                </c:pt>
                <c:pt idx="12">
                  <c:v>125</c:v>
                </c:pt>
                <c:pt idx="13">
                  <c:v>111.362339767542</c:v>
                </c:pt>
                <c:pt idx="14">
                  <c:v>99.2125657480125</c:v>
                </c:pt>
                <c:pt idx="15">
                  <c:v>88.3883476483184</c:v>
                </c:pt>
                <c:pt idx="16">
                  <c:v>78.7450656184296</c:v>
                </c:pt>
                <c:pt idx="17">
                  <c:v>70.1538780193358</c:v>
                </c:pt>
                <c:pt idx="18">
                  <c:v>62.5</c:v>
                </c:pt>
                <c:pt idx="19">
                  <c:v>55.6811698837712</c:v>
                </c:pt>
                <c:pt idx="20">
                  <c:v>49.6062828740062</c:v>
                </c:pt>
                <c:pt idx="21">
                  <c:v>44.1941738241592</c:v>
                </c:pt>
                <c:pt idx="22">
                  <c:v>39.3725328092148</c:v>
                </c:pt>
                <c:pt idx="23">
                  <c:v>35.0769390096679</c:v>
                </c:pt>
                <c:pt idx="24">
                  <c:v>31.25</c:v>
                </c:pt>
                <c:pt idx="25">
                  <c:v>27.8405849418856</c:v>
                </c:pt>
                <c:pt idx="26">
                  <c:v>24.8031414370031</c:v>
                </c:pt>
                <c:pt idx="27">
                  <c:v>22.0970869120796</c:v>
                </c:pt>
                <c:pt idx="28">
                  <c:v>19.6862664046074</c:v>
                </c:pt>
                <c:pt idx="29">
                  <c:v>17.538469504834</c:v>
                </c:pt>
                <c:pt idx="30">
                  <c:v>15.625</c:v>
                </c:pt>
                <c:pt idx="31">
                  <c:v>13.9202924709428</c:v>
                </c:pt>
                <c:pt idx="32">
                  <c:v>12.4015707185016</c:v>
                </c:pt>
                <c:pt idx="33">
                  <c:v>11.0485434560398</c:v>
                </c:pt>
                <c:pt idx="34">
                  <c:v>9.8431332023037</c:v>
                </c:pt>
                <c:pt idx="35">
                  <c:v>8.76923475241698</c:v>
                </c:pt>
                <c:pt idx="36">
                  <c:v>7.8125</c:v>
                </c:pt>
                <c:pt idx="37">
                  <c:v>6.9601462354714</c:v>
                </c:pt>
                <c:pt idx="38">
                  <c:v>6.20078535925078</c:v>
                </c:pt>
                <c:pt idx="39">
                  <c:v>5.5242717280199</c:v>
                </c:pt>
                <c:pt idx="40">
                  <c:v>4.92156660115185</c:v>
                </c:pt>
                <c:pt idx="41">
                  <c:v>4.38461737620849</c:v>
                </c:pt>
                <c:pt idx="42">
                  <c:v>3.90625</c:v>
                </c:pt>
                <c:pt idx="43">
                  <c:v>3.4800731177357</c:v>
                </c:pt>
                <c:pt idx="44">
                  <c:v>3.10039267962539</c:v>
                </c:pt>
                <c:pt idx="45">
                  <c:v>2.76213586400995</c:v>
                </c:pt>
                <c:pt idx="46">
                  <c:v>2.46078330057592</c:v>
                </c:pt>
                <c:pt idx="47">
                  <c:v>2.19230868810424</c:v>
                </c:pt>
                <c:pt idx="48">
                  <c:v>1.953125</c:v>
                </c:pt>
              </c:numCache>
            </c:numRef>
          </c:yVal>
          <c:smooth val="1"/>
        </c:ser>
        <c:axId val="67095481"/>
        <c:axId val="36726638"/>
      </c:scatterChart>
      <c:valAx>
        <c:axId val="67095481"/>
        <c:scaling>
          <c:orientation val="minMax"/>
          <c:max val="48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Zaman (saat)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26638"/>
        <c:crosses val="autoZero"/>
        <c:crossBetween val="midCat"/>
        <c:majorUnit val="6"/>
      </c:valAx>
      <c:valAx>
        <c:axId val="3672663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Kalan miktar (mg)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9548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SIR Modeli: Salgının 100 Günlük Seyri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'SIR Salgın Simülasyonu'!F17</c:f>
              <c:strCache>
                <c:ptCount val="1"/>
                <c:pt idx="0">
                  <c:v>S (Sağlıklı)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'SIR Salgın Simülasyonu'!$E$18:$E$118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'SIR Salgın Simülasyonu'!$F$18:$F$118</c:f>
              <c:numCache>
                <c:formatCode>#,##0</c:formatCode>
                <c:ptCount val="101"/>
                <c:pt idx="0">
                  <c:v>9990</c:v>
                </c:pt>
                <c:pt idx="1">
                  <c:v>9987.003</c:v>
                </c:pt>
                <c:pt idx="2">
                  <c:v>9983.40857775027</c:v>
                </c:pt>
                <c:pt idx="3">
                  <c:v>9979.09822444958</c:v>
                </c:pt>
                <c:pt idx="4">
                  <c:v>9973.93017821186</c:v>
                </c:pt>
                <c:pt idx="5">
                  <c:v>9967.73497344596</c:v>
                </c:pt>
                <c:pt idx="6">
                  <c:v>9960.31018765957</c:v>
                </c:pt>
                <c:pt idx="7">
                  <c:v>9951.4142628965</c:v>
                </c:pt>
                <c:pt idx="8">
                  <c:v>9940.75927038685</c:v>
                </c:pt>
                <c:pt idx="9">
                  <c:v>9928.00248314439</c:v>
                </c:pt>
                <c:pt idx="10">
                  <c:v>9912.7366256517</c:v>
                </c:pt>
                <c:pt idx="11">
                  <c:v>9894.47868744801</c:v>
                </c:pt>
                <c:pt idx="12">
                  <c:v>9872.65722546909</c:v>
                </c:pt>
                <c:pt idx="13">
                  <c:v>9846.59814816146</c:v>
                </c:pt>
                <c:pt idx="14">
                  <c:v>9815.50908582658</c:v>
                </c:pt>
                <c:pt idx="15">
                  <c:v>9778.46262338848</c:v>
                </c:pt>
                <c:pt idx="16">
                  <c:v>9734.37892503742</c:v>
                </c:pt>
                <c:pt idx="17">
                  <c:v>9682.00863986996</c:v>
                </c:pt>
                <c:pt idx="18">
                  <c:v>9619.91747027533</c:v>
                </c:pt>
                <c:pt idx="19">
                  <c:v>9546.47443401652</c:v>
                </c:pt>
                <c:pt idx="20">
                  <c:v>9459.84666858102</c:v>
                </c:pt>
                <c:pt idx="21">
                  <c:v>9358.00459761188</c:v>
                </c:pt>
                <c:pt idx="22">
                  <c:v>9238.74233968877</c:v>
                </c:pt>
                <c:pt idx="23">
                  <c:v>9099.71924392618</c:v>
                </c:pt>
                <c:pt idx="24">
                  <c:v>8938.52912083399</c:v>
                </c:pt>
                <c:pt idx="25">
                  <c:v>8752.80368470516</c:v>
                </c:pt>
                <c:pt idx="26">
                  <c:v>8540.35535921898</c:v>
                </c:pt>
                <c:pt idx="27">
                  <c:v>8299.36123760364</c:v>
                </c:pt>
                <c:pt idx="28">
                  <c:v>8028.5840052119</c:v>
                </c:pt>
                <c:pt idx="29">
                  <c:v>7727.61677026966</c:v>
                </c:pt>
                <c:pt idx="30">
                  <c:v>7397.12758821544</c:v>
                </c:pt>
                <c:pt idx="31">
                  <c:v>7039.06791725667</c:v>
                </c:pt>
                <c:pt idx="32">
                  <c:v>6656.80078815786</c:v>
                </c:pt>
                <c:pt idx="33">
                  <c:v>6255.10371841939</c:v>
                </c:pt>
                <c:pt idx="34">
                  <c:v>5840.01260799247</c:v>
                </c:pt>
                <c:pt idx="35">
                  <c:v>5418.49753552778</c:v>
                </c:pt>
                <c:pt idx="36">
                  <c:v>4997.99597425632</c:v>
                </c:pt>
                <c:pt idx="37">
                  <c:v>4585.86427144433</c:v>
                </c:pt>
                <c:pt idx="38">
                  <c:v>4188.83205357771</c:v>
                </c:pt>
                <c:pt idx="39">
                  <c:v>3812.54663548125</c:v>
                </c:pt>
                <c:pt idx="40">
                  <c:v>3461.27334825995</c:v>
                </c:pt>
                <c:pt idx="41">
                  <c:v>3137.78026844902</c:v>
                </c:pt>
                <c:pt idx="42">
                  <c:v>2843.3954954389</c:v>
                </c:pt>
                <c:pt idx="43">
                  <c:v>2578.19474146384</c:v>
                </c:pt>
                <c:pt idx="44">
                  <c:v>2341.26340376977</c:v>
                </c:pt>
                <c:pt idx="45">
                  <c:v>2130.97983706847</c:v>
                </c:pt>
                <c:pt idx="46">
                  <c:v>1945.2795245314</c:v>
                </c:pt>
                <c:pt idx="47">
                  <c:v>1781.87633327837</c:v>
                </c:pt>
                <c:pt idx="48">
                  <c:v>1638.43179219729</c:v>
                </c:pt>
                <c:pt idx="49">
                  <c:v>1512.67379263954</c:v>
                </c:pt>
                <c:pt idx="50">
                  <c:v>1402.47197942396</c:v>
                </c:pt>
                <c:pt idx="51">
                  <c:v>1305.87931204273</c:v>
                </c:pt>
                <c:pt idx="52">
                  <c:v>1221.14913783225</c:v>
                </c:pt>
                <c:pt idx="53">
                  <c:v>1146.73577588494</c:v>
                </c:pt>
                <c:pt idx="54">
                  <c:v>1081.28486133578</c:v>
                </c:pt>
                <c:pt idx="55">
                  <c:v>1023.6180054372</c:v>
                </c:pt>
                <c:pt idx="56">
                  <c:v>972.714899091605</c:v>
                </c:pt>
                <c:pt idx="57">
                  <c:v>927.6948839909</c:v>
                </c:pt>
                <c:pt idx="58">
                  <c:v>887.799214303914</c:v>
                </c:pt>
                <c:pt idx="59">
                  <c:v>852.37467905914</c:v>
                </c:pt>
                <c:pt idx="60">
                  <c:v>820.85889145171</c:v>
                </c:pt>
                <c:pt idx="61">
                  <c:v>792.767323297808</c:v>
                </c:pt>
                <c:pt idx="62">
                  <c:v>767.682028484592</c:v>
                </c:pt>
                <c:pt idx="63">
                  <c:v>745.241926957547</c:v>
                </c:pt>
                <c:pt idx="64">
                  <c:v>725.134488083391</c:v>
                </c:pt>
                <c:pt idx="65">
                  <c:v>707.08864371568</c:v>
                </c:pt>
                <c:pt idx="66">
                  <c:v>690.868766734403</c:v>
                </c:pt>
                <c:pt idx="67">
                  <c:v>676.269563634006</c:v>
                </c:pt>
                <c:pt idx="68">
                  <c:v>663.111745784027</c:v>
                </c:pt>
                <c:pt idx="69">
                  <c:v>651.238360820552</c:v>
                </c:pt>
                <c:pt idx="70">
                  <c:v>640.511681851525</c:v>
                </c:pt>
                <c:pt idx="71">
                  <c:v>630.810567055866</c:v>
                </c:pt>
                <c:pt idx="72">
                  <c:v>622.028215520015</c:v>
                </c:pt>
                <c:pt idx="73">
                  <c:v>614.070256723896</c:v>
                </c:pt>
                <c:pt idx="74">
                  <c:v>606.853121034653</c:v>
                </c:pt>
                <c:pt idx="75">
                  <c:v>600.30264703209</c:v>
                </c:pt>
                <c:pt idx="76">
                  <c:v>594.352888643249</c:v>
                </c:pt>
                <c:pt idx="77">
                  <c:v>588.945091077591</c:v>
                </c:pt>
                <c:pt idx="78">
                  <c:v>584.026809592294</c:v>
                </c:pt>
                <c:pt idx="79">
                  <c:v>579.551149327746</c:v>
                </c:pt>
                <c:pt idx="80">
                  <c:v>575.476107967004</c:v>
                </c:pt>
                <c:pt idx="81">
                  <c:v>571.764005902983</c:v>
                </c:pt>
                <c:pt idx="82">
                  <c:v>568.380991039754</c:v>
                </c:pt>
                <c:pt idx="83">
                  <c:v>565.29660739122</c:v>
                </c:pt>
                <c:pt idx="84">
                  <c:v>562.483418339802</c:v>
                </c:pt>
                <c:pt idx="85">
                  <c:v>559.916676836869</c:v>
                </c:pt>
                <c:pt idx="86">
                  <c:v>557.574036012903</c:v>
                </c:pt>
                <c:pt idx="87">
                  <c:v>555.435294658291</c:v>
                </c:pt>
                <c:pt idx="88">
                  <c:v>553.482172867875</c:v>
                </c:pt>
                <c:pt idx="89">
                  <c:v>551.698113841013</c:v>
                </c:pt>
                <c:pt idx="90">
                  <c:v>550.068108416393</c:v>
                </c:pt>
                <c:pt idx="91">
                  <c:v>548.578539415632</c:v>
                </c:pt>
                <c:pt idx="92">
                  <c:v>547.217043287289</c:v>
                </c:pt>
                <c:pt idx="93">
                  <c:v>545.972386895931</c:v>
                </c:pt>
                <c:pt idx="94">
                  <c:v>544.83435759993</c:v>
                </c:pt>
                <c:pt idx="95">
                  <c:v>543.793665015509</c:v>
                </c:pt>
                <c:pt idx="96">
                  <c:v>542.841853080403</c:v>
                </c:pt>
                <c:pt idx="97">
                  <c:v>541.971221214525</c:v>
                </c:pt>
                <c:pt idx="98">
                  <c:v>541.174753532118</c:v>
                </c:pt>
                <c:pt idx="99">
                  <c:v>540.446055194425</c:v>
                </c:pt>
                <c:pt idx="100">
                  <c:v>539.779295107237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'SIR Salgın Simülasyonu'!G17</c:f>
              <c:strCache>
                <c:ptCount val="1"/>
                <c:pt idx="0">
                  <c:v>I (Hasta)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'SIR Salgın Simülasyonu'!$E$18:$E$118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'SIR Salgın Simülasyonu'!$G$18:$G$118</c:f>
              <c:numCache>
                <c:formatCode>#,##0</c:formatCode>
                <c:ptCount val="101"/>
                <c:pt idx="0">
                  <c:v>10</c:v>
                </c:pt>
                <c:pt idx="1">
                  <c:v>11.997</c:v>
                </c:pt>
                <c:pt idx="2">
                  <c:v>14.39172224973</c:v>
                </c:pt>
                <c:pt idx="3">
                  <c:v>17.2629033254536</c:v>
                </c:pt>
                <c:pt idx="4">
                  <c:v>20.7046592306246</c:v>
                </c:pt>
                <c:pt idx="5">
                  <c:v>24.8293980734598</c:v>
                </c:pt>
                <c:pt idx="6">
                  <c:v>29.7712440525069</c:v>
                </c:pt>
                <c:pt idx="7">
                  <c:v>35.6900444103207</c:v>
                </c:pt>
                <c:pt idx="8">
                  <c:v>42.7760324789369</c:v>
                </c:pt>
                <c:pt idx="9">
                  <c:v>51.255216473504</c:v>
                </c:pt>
                <c:pt idx="10">
                  <c:v>61.3955523188451</c:v>
                </c:pt>
                <c:pt idx="11">
                  <c:v>73.5139352906546</c:v>
                </c:pt>
                <c:pt idx="12">
                  <c:v>87.9840037405035</c:v>
                </c:pt>
                <c:pt idx="13">
                  <c:v>105.244680674085</c:v>
                </c:pt>
                <c:pt idx="14">
                  <c:v>125.809274941555</c:v>
                </c:pt>
                <c:pt idx="15">
                  <c:v>150.274809885502</c:v>
                </c:pt>
                <c:pt idx="16">
                  <c:v>179.331027248017</c:v>
                </c:pt>
                <c:pt idx="17">
                  <c:v>213.768209690668</c:v>
                </c:pt>
                <c:pt idx="18">
                  <c:v>254.482558316238</c:v>
                </c:pt>
                <c:pt idx="19">
                  <c:v>302.477338743417</c:v>
                </c:pt>
                <c:pt idx="20">
                  <c:v>358.857370304577</c:v>
                </c:pt>
                <c:pt idx="21">
                  <c:v>424.813704243264</c:v>
                </c:pt>
                <c:pt idx="22">
                  <c:v>501.594591742047</c:v>
                </c:pt>
                <c:pt idx="23">
                  <c:v>590.458228330427</c:v>
                </c:pt>
                <c:pt idx="24">
                  <c:v>692.602528589573</c:v>
                </c:pt>
                <c:pt idx="25">
                  <c:v>809.06771185945</c:v>
                </c:pt>
                <c:pt idx="26">
                  <c:v>940.609266159686</c:v>
                </c:pt>
                <c:pt idx="27">
                  <c:v>1087.54246115906</c:v>
                </c:pt>
                <c:pt idx="28">
                  <c:v>1249.5654474349</c:v>
                </c:pt>
                <c:pt idx="29">
                  <c:v>1425.57613763364</c:v>
                </c:pt>
                <c:pt idx="30">
                  <c:v>1613.5077059245</c:v>
                </c:pt>
                <c:pt idx="31">
                  <c:v>1810.21660629082</c:v>
                </c:pt>
                <c:pt idx="32">
                  <c:v>2011.46207476054</c:v>
                </c:pt>
                <c:pt idx="33">
                  <c:v>2212.01293702296</c:v>
                </c:pt>
                <c:pt idx="34">
                  <c:v>2405.90275374759</c:v>
                </c:pt>
                <c:pt idx="35">
                  <c:v>2586.82755083752</c:v>
                </c:pt>
                <c:pt idx="36">
                  <c:v>2748.64635702522</c:v>
                </c:pt>
                <c:pt idx="37">
                  <c:v>2885.91342413469</c:v>
                </c:pt>
                <c:pt idx="38">
                  <c:v>2994.35429958784</c:v>
                </c:pt>
                <c:pt idx="39">
                  <c:v>3071.20428772551</c:v>
                </c:pt>
                <c:pt idx="40">
                  <c:v>3115.35714617427</c:v>
                </c:pt>
                <c:pt idx="41">
                  <c:v>3127.31451136777</c:v>
                </c:pt>
                <c:pt idx="42">
                  <c:v>3108.96783324111</c:v>
                </c:pt>
                <c:pt idx="43">
                  <c:v>3063.27180389207</c:v>
                </c:pt>
                <c:pt idx="44">
                  <c:v>2993.87596119693</c:v>
                </c:pt>
                <c:pt idx="45">
                  <c:v>2904.77193177853</c:v>
                </c:pt>
                <c:pt idx="46">
                  <c:v>2799.99505113775</c:v>
                </c:pt>
                <c:pt idx="47">
                  <c:v>2683.398737277</c:v>
                </c:pt>
                <c:pt idx="48">
                  <c:v>2558.50340463039</c:v>
                </c:pt>
                <c:pt idx="49">
                  <c:v>2428.41106372509</c:v>
                </c:pt>
                <c:pt idx="50">
                  <c:v>2295.77177056817</c:v>
                </c:pt>
                <c:pt idx="51">
                  <c:v>2162.78726089258</c:v>
                </c:pt>
                <c:pt idx="52">
                  <c:v>2031.2387090138</c:v>
                </c:pt>
                <c:pt idx="53">
                  <c:v>1902.52820005973</c:v>
                </c:pt>
                <c:pt idx="54">
                  <c:v>1777.72629460291</c:v>
                </c:pt>
                <c:pt idx="55">
                  <c:v>1657.6205210412</c:v>
                </c:pt>
                <c:pt idx="56">
                  <c:v>1542.76157528268</c:v>
                </c:pt>
                <c:pt idx="57">
                  <c:v>1433.50543285512</c:v>
                </c:pt>
                <c:pt idx="58">
                  <c:v>1330.05055925659</c:v>
                </c:pt>
                <c:pt idx="59">
                  <c:v>1232.47003857571</c:v>
                </c:pt>
                <c:pt idx="60">
                  <c:v>1140.73882232557</c:v>
                </c:pt>
                <c:pt idx="61">
                  <c:v>1054.75650824691</c:v>
                </c:pt>
                <c:pt idx="62">
                  <c:v>974.366152235436</c:v>
                </c:pt>
                <c:pt idx="63">
                  <c:v>899.369638538937</c:v>
                </c:pt>
                <c:pt idx="64">
                  <c:v>829.5401135592</c:v>
                </c:pt>
                <c:pt idx="65">
                  <c:v>764.631946570991</c:v>
                </c:pt>
                <c:pt idx="66">
                  <c:v>704.388628895169</c:v>
                </c:pt>
                <c:pt idx="67">
                  <c:v>648.548969106048</c:v>
                </c:pt>
                <c:pt idx="68">
                  <c:v>596.851890045423</c:v>
                </c:pt>
                <c:pt idx="69">
                  <c:v>549.040086004356</c:v>
                </c:pt>
                <c:pt idx="70">
                  <c:v>504.862756372948</c:v>
                </c:pt>
                <c:pt idx="71">
                  <c:v>464.077595531312</c:v>
                </c:pt>
                <c:pt idx="72">
                  <c:v>426.452187514032</c:v>
                </c:pt>
                <c:pt idx="73">
                  <c:v>391.764927558747</c:v>
                </c:pt>
                <c:pt idx="74">
                  <c:v>359.805570492115</c:v>
                </c:pt>
                <c:pt idx="75">
                  <c:v>330.375487445467</c:v>
                </c:pt>
                <c:pt idx="76">
                  <c:v>303.287697089762</c:v>
                </c:pt>
                <c:pt idx="77">
                  <c:v>278.366724946443</c:v>
                </c:pt>
                <c:pt idx="78">
                  <c:v>255.448333937095</c:v>
                </c:pt>
                <c:pt idx="79">
                  <c:v>234.379160807934</c:v>
                </c:pt>
                <c:pt idx="80">
                  <c:v>215.016286087882</c:v>
                </c:pt>
                <c:pt idx="81">
                  <c:v>197.226759543115</c:v>
                </c:pt>
                <c:pt idx="82">
                  <c:v>180.887098452033</c:v>
                </c:pt>
                <c:pt idx="83">
                  <c:v>165.882772255364</c:v>
                </c:pt>
                <c:pt idx="84">
                  <c:v>152.107684081246</c:v>
                </c:pt>
                <c:pt idx="85">
                  <c:v>139.463657176054</c:v>
                </c:pt>
                <c:pt idx="86">
                  <c:v>127.859932282415</c:v>
                </c:pt>
                <c:pt idx="87">
                  <c:v>117.212680408784</c:v>
                </c:pt>
                <c:pt idx="88">
                  <c:v>107.444534158322</c:v>
                </c:pt>
                <c:pt idx="89">
                  <c:v>98.4841397693518</c:v>
                </c:pt>
                <c:pt idx="90">
                  <c:v>90.2657312170368</c:v>
                </c:pt>
                <c:pt idx="91">
                  <c:v>82.7287270960944</c:v>
                </c:pt>
                <c:pt idx="92">
                  <c:v>75.8173505148277</c:v>
                </c:pt>
                <c:pt idx="93">
                  <c:v>69.4802718547029</c:v>
                </c:pt>
                <c:pt idx="94">
                  <c:v>63.6702739652333</c:v>
                </c:pt>
                <c:pt idx="95">
                  <c:v>58.3439391531318</c:v>
                </c:pt>
                <c:pt idx="96">
                  <c:v>53.4613571729243</c:v>
                </c:pt>
                <c:pt idx="97">
                  <c:v>48.9858533215102</c:v>
                </c:pt>
                <c:pt idx="98">
                  <c:v>44.883735671766</c:v>
                </c:pt>
                <c:pt idx="99">
                  <c:v>41.1240604422825</c:v>
                </c:pt>
                <c:pt idx="100">
                  <c:v>37.6784144852425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'SIR Salgın Simülasyonu'!H17</c:f>
              <c:strCache>
                <c:ptCount val="1"/>
                <c:pt idx="0">
                  <c:v>R (İyileşmiş)</c:v>
                </c:pt>
              </c:strCache>
            </c:strRef>
          </c:tx>
          <c:spPr>
            <a:solidFill>
              <a:srgbClr val="70ad47"/>
            </a:solidFill>
            <a:ln w="280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'SIR Salgın Simülasyonu'!$E$18:$E$118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'SIR Salgın Simülasyonu'!$H$18:$H$118</c:f>
              <c:numCache>
                <c:formatCode>#,##0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2.1997</c:v>
                </c:pt>
                <c:pt idx="3">
                  <c:v>3.638872224973</c:v>
                </c:pt>
                <c:pt idx="4">
                  <c:v>5.36516255751836</c:v>
                </c:pt>
                <c:pt idx="5">
                  <c:v>7.43562848058082</c:v>
                </c:pt>
                <c:pt idx="6">
                  <c:v>9.9185682879268</c:v>
                </c:pt>
                <c:pt idx="7">
                  <c:v>12.8956926931775</c:v>
                </c:pt>
                <c:pt idx="8">
                  <c:v>16.4646971342096</c:v>
                </c:pt>
                <c:pt idx="9">
                  <c:v>20.7423003821032</c:v>
                </c:pt>
                <c:pt idx="10">
                  <c:v>25.8678220294536</c:v>
                </c:pt>
                <c:pt idx="11">
                  <c:v>32.0073772613382</c:v>
                </c:pt>
                <c:pt idx="12">
                  <c:v>39.3587707904036</c:v>
                </c:pt>
                <c:pt idx="13">
                  <c:v>48.157171164454</c:v>
                </c:pt>
                <c:pt idx="14">
                  <c:v>58.6816392318624</c:v>
                </c:pt>
                <c:pt idx="15">
                  <c:v>71.2625667260179</c:v>
                </c:pt>
                <c:pt idx="16">
                  <c:v>86.2900477145681</c:v>
                </c:pt>
                <c:pt idx="17">
                  <c:v>104.22315043937</c:v>
                </c:pt>
                <c:pt idx="18">
                  <c:v>125.599971408437</c:v>
                </c:pt>
                <c:pt idx="19">
                  <c:v>151.04822724006</c:v>
                </c:pt>
                <c:pt idx="20">
                  <c:v>181.295961114402</c:v>
                </c:pt>
                <c:pt idx="21">
                  <c:v>217.18169814486</c:v>
                </c:pt>
                <c:pt idx="22">
                  <c:v>259.663068569186</c:v>
                </c:pt>
                <c:pt idx="23">
                  <c:v>309.822527743391</c:v>
                </c:pt>
                <c:pt idx="24">
                  <c:v>368.868350576434</c:v>
                </c:pt>
                <c:pt idx="25">
                  <c:v>438.128603435391</c:v>
                </c:pt>
                <c:pt idx="26">
                  <c:v>519.035374621336</c:v>
                </c:pt>
                <c:pt idx="27">
                  <c:v>613.096301237305</c:v>
                </c:pt>
                <c:pt idx="28">
                  <c:v>721.85054735321</c:v>
                </c:pt>
                <c:pt idx="29">
                  <c:v>846.8070920967</c:v>
                </c:pt>
                <c:pt idx="30">
                  <c:v>989.364705860064</c:v>
                </c:pt>
                <c:pt idx="31">
                  <c:v>1150.71547645251</c:v>
                </c:pt>
                <c:pt idx="32">
                  <c:v>1331.7371370816</c:v>
                </c:pt>
                <c:pt idx="33">
                  <c:v>1532.88334455765</c:v>
                </c:pt>
                <c:pt idx="34">
                  <c:v>1754.08463825995</c:v>
                </c:pt>
                <c:pt idx="35">
                  <c:v>1994.6749136347</c:v>
                </c:pt>
                <c:pt idx="36">
                  <c:v>2253.35766871846</c:v>
                </c:pt>
                <c:pt idx="37">
                  <c:v>2528.22230442098</c:v>
                </c:pt>
                <c:pt idx="38">
                  <c:v>2816.81364683445</c:v>
                </c:pt>
                <c:pt idx="39">
                  <c:v>3116.24907679323</c:v>
                </c:pt>
                <c:pt idx="40">
                  <c:v>3423.36950556578</c:v>
                </c:pt>
                <c:pt idx="41">
                  <c:v>3734.90522018321</c:v>
                </c:pt>
                <c:pt idx="42">
                  <c:v>4047.63667131999</c:v>
                </c:pt>
                <c:pt idx="43">
                  <c:v>4358.5334546441</c:v>
                </c:pt>
                <c:pt idx="44">
                  <c:v>4664.8606350333</c:v>
                </c:pt>
                <c:pt idx="45">
                  <c:v>4964.248231153</c:v>
                </c:pt>
                <c:pt idx="46">
                  <c:v>5254.72542433085</c:v>
                </c:pt>
                <c:pt idx="47">
                  <c:v>5534.72492944463</c:v>
                </c:pt>
                <c:pt idx="48">
                  <c:v>5803.06480317233</c:v>
                </c:pt>
                <c:pt idx="49">
                  <c:v>6058.91514363536</c:v>
                </c:pt>
                <c:pt idx="50">
                  <c:v>6301.75625000787</c:v>
                </c:pt>
                <c:pt idx="51">
                  <c:v>6531.33342706469</c:v>
                </c:pt>
                <c:pt idx="52">
                  <c:v>6747.61215315395</c:v>
                </c:pt>
                <c:pt idx="53">
                  <c:v>6950.73602405533</c:v>
                </c:pt>
                <c:pt idx="54">
                  <c:v>7140.9888440613</c:v>
                </c:pt>
                <c:pt idx="55">
                  <c:v>7318.76147352159</c:v>
                </c:pt>
                <c:pt idx="56">
                  <c:v>7484.52352562571</c:v>
                </c:pt>
                <c:pt idx="57">
                  <c:v>7638.79968315398</c:v>
                </c:pt>
                <c:pt idx="58">
                  <c:v>7782.15022643949</c:v>
                </c:pt>
                <c:pt idx="59">
                  <c:v>7915.15528236515</c:v>
                </c:pt>
                <c:pt idx="60">
                  <c:v>8038.40228622272</c:v>
                </c:pt>
                <c:pt idx="61">
                  <c:v>8152.47616845528</c:v>
                </c:pt>
                <c:pt idx="62">
                  <c:v>8257.95181927997</c:v>
                </c:pt>
                <c:pt idx="63">
                  <c:v>8355.38843450352</c:v>
                </c:pt>
                <c:pt idx="64">
                  <c:v>8445.32539835741</c:v>
                </c:pt>
                <c:pt idx="65">
                  <c:v>8528.27940971333</c:v>
                </c:pt>
                <c:pt idx="66">
                  <c:v>8604.74260437043</c:v>
                </c:pt>
                <c:pt idx="67">
                  <c:v>8675.18146725995</c:v>
                </c:pt>
                <c:pt idx="68">
                  <c:v>8740.03636417055</c:v>
                </c:pt>
                <c:pt idx="69">
                  <c:v>8799.72155317509</c:v>
                </c:pt>
                <c:pt idx="70">
                  <c:v>8854.62556177553</c:v>
                </c:pt>
                <c:pt idx="71">
                  <c:v>8905.11183741282</c:v>
                </c:pt>
                <c:pt idx="72">
                  <c:v>8951.51959696595</c:v>
                </c:pt>
                <c:pt idx="73">
                  <c:v>8994.16481571736</c:v>
                </c:pt>
                <c:pt idx="74">
                  <c:v>9033.34130847323</c:v>
                </c:pt>
                <c:pt idx="75">
                  <c:v>9069.32186552244</c:v>
                </c:pt>
                <c:pt idx="76">
                  <c:v>9102.35941426699</c:v>
                </c:pt>
                <c:pt idx="77">
                  <c:v>9132.68818397596</c:v>
                </c:pt>
                <c:pt idx="78">
                  <c:v>9160.52485647061</c:v>
                </c:pt>
                <c:pt idx="79">
                  <c:v>9186.06968986432</c:v>
                </c:pt>
                <c:pt idx="80">
                  <c:v>9209.50760594511</c:v>
                </c:pt>
                <c:pt idx="81">
                  <c:v>9231.0092345539</c:v>
                </c:pt>
                <c:pt idx="82">
                  <c:v>9250.73191050821</c:v>
                </c:pt>
                <c:pt idx="83">
                  <c:v>9268.82062035342</c:v>
                </c:pt>
                <c:pt idx="84">
                  <c:v>9285.40889757895</c:v>
                </c:pt>
                <c:pt idx="85">
                  <c:v>9300.61966598708</c:v>
                </c:pt>
                <c:pt idx="86">
                  <c:v>9314.56603170468</c:v>
                </c:pt>
                <c:pt idx="87">
                  <c:v>9327.35202493292</c:v>
                </c:pt>
                <c:pt idx="88">
                  <c:v>9339.0732929738</c:v>
                </c:pt>
                <c:pt idx="89">
                  <c:v>9349.81774638964</c:v>
                </c:pt>
                <c:pt idx="90">
                  <c:v>9359.66616036657</c:v>
                </c:pt>
                <c:pt idx="91">
                  <c:v>9368.69273348828</c:v>
                </c:pt>
                <c:pt idx="92">
                  <c:v>9376.96560619788</c:v>
                </c:pt>
                <c:pt idx="93">
                  <c:v>9384.54734124937</c:v>
                </c:pt>
                <c:pt idx="94">
                  <c:v>9391.49536843484</c:v>
                </c:pt>
                <c:pt idx="95">
                  <c:v>9397.86239583136</c:v>
                </c:pt>
                <c:pt idx="96">
                  <c:v>9403.69678974667</c:v>
                </c:pt>
                <c:pt idx="97">
                  <c:v>9409.04292546397</c:v>
                </c:pt>
                <c:pt idx="98">
                  <c:v>9413.94151079612</c:v>
                </c:pt>
                <c:pt idx="99">
                  <c:v>9418.4298843633</c:v>
                </c:pt>
                <c:pt idx="100">
                  <c:v>9422.54229040752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705308"/>
        <c:axId val="62299964"/>
      </c:lineChart>
      <c:catAx>
        <c:axId val="447053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Gün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99964"/>
        <c:crosses val="autoZero"/>
        <c:auto val="1"/>
        <c:lblAlgn val="ctr"/>
        <c:lblOffset val="100"/>
        <c:noMultiLvlLbl val="0"/>
      </c:catAx>
      <c:valAx>
        <c:axId val="6229996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Kişi sayısı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053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7</xdr:row>
      <xdr:rowOff>0</xdr:rowOff>
    </xdr:from>
    <xdr:to>
      <xdr:col>16</xdr:col>
      <xdr:colOff>290160</xdr:colOff>
      <xdr:row>23</xdr:row>
      <xdr:rowOff>181080</xdr:rowOff>
    </xdr:to>
    <xdr:graphicFrame>
      <xdr:nvGraphicFramePr>
        <xdr:cNvPr id="0" name="Chart 1"/>
        <xdr:cNvGraphicFramePr/>
      </xdr:nvGraphicFramePr>
      <xdr:xfrm>
        <a:off x="7330320" y="195264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8</xdr:row>
      <xdr:rowOff>0</xdr:rowOff>
    </xdr:from>
    <xdr:to>
      <xdr:col>20</xdr:col>
      <xdr:colOff>351360</xdr:colOff>
      <xdr:row>26</xdr:row>
      <xdr:rowOff>160200</xdr:rowOff>
    </xdr:to>
    <xdr:graphicFrame>
      <xdr:nvGraphicFramePr>
        <xdr:cNvPr id="1" name="Chart 1"/>
        <xdr:cNvGraphicFramePr/>
      </xdr:nvGraphicFramePr>
      <xdr:xfrm>
        <a:off x="9586080" y="2333520"/>
        <a:ext cx="683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6" min="5" style="0" width="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6.15" hidden="false" customHeight="false" outlineLevel="0" collapsed="false">
      <c r="B4" s="3" t="s">
        <v>2</v>
      </c>
      <c r="C4" s="3"/>
      <c r="D4" s="3"/>
    </row>
    <row r="5" customFormat="false" ht="61.5" hidden="false" customHeight="true" outlineLevel="0" collapsed="false">
      <c r="B5" s="4" t="s">
        <v>3</v>
      </c>
      <c r="C5" s="4"/>
      <c r="D5" s="4"/>
    </row>
    <row r="7" customFormat="false" ht="16.15" hidden="false" customHeight="false" outlineLevel="0" collapsed="false">
      <c r="B7" s="5" t="s">
        <v>4</v>
      </c>
    </row>
    <row r="8" customFormat="false" ht="15" hidden="false" customHeight="false" outlineLevel="0" collapsed="false">
      <c r="B8" s="6" t="s">
        <v>5</v>
      </c>
      <c r="C8" s="6" t="s">
        <v>6</v>
      </c>
      <c r="D8" s="6" t="s">
        <v>7</v>
      </c>
    </row>
    <row r="9" customFormat="false" ht="21.75" hidden="false" customHeight="true" outlineLevel="0" collapsed="false">
      <c r="B9" s="7" t="s">
        <v>8</v>
      </c>
      <c r="C9" s="8" t="s">
        <v>9</v>
      </c>
      <c r="D9" s="9" t="s">
        <v>10</v>
      </c>
    </row>
    <row r="10" customFormat="false" ht="21.75" hidden="false" customHeight="true" outlineLevel="0" collapsed="false">
      <c r="B10" s="7" t="s">
        <v>11</v>
      </c>
      <c r="C10" s="8" t="s">
        <v>12</v>
      </c>
      <c r="D10" s="9" t="s">
        <v>13</v>
      </c>
    </row>
    <row r="11" customFormat="false" ht="21.75" hidden="false" customHeight="true" outlineLevel="0" collapsed="false">
      <c r="B11" s="7" t="s">
        <v>14</v>
      </c>
      <c r="C11" s="8" t="s">
        <v>15</v>
      </c>
      <c r="D11" s="9" t="s">
        <v>16</v>
      </c>
    </row>
    <row r="12" customFormat="false" ht="21.75" hidden="false" customHeight="true" outlineLevel="0" collapsed="false">
      <c r="B12" s="7" t="s">
        <v>17</v>
      </c>
      <c r="C12" s="8" t="s">
        <v>18</v>
      </c>
      <c r="D12" s="9" t="s">
        <v>19</v>
      </c>
    </row>
    <row r="14" customFormat="false" ht="16.15" hidden="false" customHeight="false" outlineLevel="0" collapsed="false">
      <c r="B14" s="5" t="s">
        <v>20</v>
      </c>
    </row>
    <row r="15" customFormat="false" ht="15" hidden="false" customHeight="false" outlineLevel="0" collapsed="false">
      <c r="B15" s="10" t="s">
        <v>21</v>
      </c>
      <c r="C15" s="10"/>
      <c r="D15" s="10"/>
    </row>
    <row r="16" customFormat="false" ht="15" hidden="false" customHeight="false" outlineLevel="0" collapsed="false">
      <c r="B16" s="10" t="s">
        <v>22</v>
      </c>
      <c r="C16" s="10"/>
      <c r="D16" s="10"/>
    </row>
    <row r="17" customFormat="false" ht="15" hidden="false" customHeight="false" outlineLevel="0" collapsed="false">
      <c r="B17" s="10" t="s">
        <v>23</v>
      </c>
      <c r="C17" s="10"/>
      <c r="D17" s="10"/>
    </row>
    <row r="18" customFormat="false" ht="15" hidden="false" customHeight="false" outlineLevel="0" collapsed="false">
      <c r="B18" s="10" t="s">
        <v>24</v>
      </c>
      <c r="C18" s="10"/>
      <c r="D18" s="10"/>
    </row>
    <row r="20" customFormat="false" ht="16.15" hidden="false" customHeight="false" outlineLevel="0" collapsed="false">
      <c r="B20" s="5" t="s">
        <v>25</v>
      </c>
    </row>
    <row r="21" customFormat="false" ht="15" hidden="false" customHeight="false" outlineLevel="0" collapsed="false">
      <c r="B21" s="11" t="s">
        <v>26</v>
      </c>
      <c r="C21" s="12" t="s">
        <v>27</v>
      </c>
    </row>
    <row r="22" customFormat="false" ht="15" hidden="false" customHeight="false" outlineLevel="0" collapsed="false">
      <c r="B22" s="13" t="s">
        <v>28</v>
      </c>
      <c r="C22" s="12" t="s">
        <v>29</v>
      </c>
    </row>
    <row r="23" customFormat="false" ht="15" hidden="false" customHeight="false" outlineLevel="0" collapsed="false">
      <c r="B23" s="14" t="s">
        <v>30</v>
      </c>
      <c r="C23" s="12" t="s">
        <v>31</v>
      </c>
    </row>
    <row r="25" customFormat="false" ht="15" hidden="false" customHeight="false" outlineLevel="0" collapsed="false">
      <c r="B25" s="15" t="s">
        <v>32</v>
      </c>
      <c r="C25" s="15"/>
      <c r="D25" s="15"/>
    </row>
  </sheetData>
  <mergeCells count="9">
    <mergeCell ref="A1:F1"/>
    <mergeCell ref="A2:F2"/>
    <mergeCell ref="B4:D4"/>
    <mergeCell ref="B5:D5"/>
    <mergeCell ref="B15:D15"/>
    <mergeCell ref="B16:D16"/>
    <mergeCell ref="B17:D17"/>
    <mergeCell ref="B18:D18"/>
    <mergeCell ref="B25:D25"/>
  </mergeCells>
  <hyperlinks>
    <hyperlink ref="B9" location="'VKİ'!A1" display="1) Vücut Kitle İndeksi"/>
    <hyperlink ref="B10" location="'Vücut Yüzey Alanı'!A1" display="2) Vücut Yüzey Alanı"/>
    <hyperlink ref="B11" location="'İlaç Yarılanma Ömrü'!A1" display="3) İlaç Yarılanma Ömrü"/>
    <hyperlink ref="B12" location="'SIR Salgın Simülasyonu'!A1" display="4) SIR Salgın Simülasyo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6" min="5" style="0" width="22"/>
  </cols>
  <sheetData>
    <row r="1" customFormat="false" ht="33.75" hidden="false" customHeight="true" outlineLevel="0" collapsed="false">
      <c r="A1" s="1" t="s">
        <v>33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34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16" t="s">
        <v>35</v>
      </c>
    </row>
    <row r="5" customFormat="false" ht="30" hidden="false" customHeight="true" outlineLevel="0" collapsed="false">
      <c r="A5" s="17" t="s">
        <v>36</v>
      </c>
      <c r="B5" s="17"/>
      <c r="C5" s="17"/>
      <c r="D5" s="17"/>
      <c r="E5" s="17"/>
      <c r="F5" s="17"/>
    </row>
    <row r="7" customFormat="false" ht="15" hidden="false" customHeight="false" outlineLevel="0" collapsed="false">
      <c r="A7" s="18" t="s">
        <v>37</v>
      </c>
      <c r="E7" s="6" t="s">
        <v>38</v>
      </c>
      <c r="F7" s="6" t="s">
        <v>39</v>
      </c>
    </row>
    <row r="8" customFormat="false" ht="15" hidden="false" customHeight="false" outlineLevel="0" collapsed="false">
      <c r="A8" s="19" t="s">
        <v>40</v>
      </c>
      <c r="B8" s="20" t="n">
        <v>70</v>
      </c>
      <c r="C8" s="21" t="s">
        <v>41</v>
      </c>
      <c r="E8" s="22" t="s">
        <v>42</v>
      </c>
      <c r="F8" s="22" t="s">
        <v>43</v>
      </c>
    </row>
    <row r="9" customFormat="false" ht="15" hidden="false" customHeight="false" outlineLevel="0" collapsed="false">
      <c r="A9" s="19" t="s">
        <v>44</v>
      </c>
      <c r="B9" s="23" t="n">
        <v>175</v>
      </c>
      <c r="C9" s="21" t="s">
        <v>45</v>
      </c>
      <c r="E9" s="24" t="s">
        <v>46</v>
      </c>
      <c r="F9" s="24" t="s">
        <v>47</v>
      </c>
    </row>
    <row r="10" customFormat="false" ht="15" hidden="false" customHeight="false" outlineLevel="0" collapsed="false">
      <c r="E10" s="25" t="s">
        <v>48</v>
      </c>
      <c r="F10" s="25" t="s">
        <v>49</v>
      </c>
    </row>
    <row r="11" customFormat="false" ht="15" hidden="false" customHeight="false" outlineLevel="0" collapsed="false">
      <c r="A11" s="18" t="s">
        <v>50</v>
      </c>
      <c r="E11" s="26" t="s">
        <v>51</v>
      </c>
      <c r="F11" s="26" t="s">
        <v>52</v>
      </c>
    </row>
    <row r="12" customFormat="false" ht="15" hidden="false" customHeight="false" outlineLevel="0" collapsed="false">
      <c r="A12" s="19" t="s">
        <v>53</v>
      </c>
      <c r="B12" s="27" t="n">
        <f aca="false">IF(B9="","",B9/100)</f>
        <v>1.75</v>
      </c>
      <c r="C12" s="21" t="s">
        <v>54</v>
      </c>
      <c r="E12" s="28" t="s">
        <v>55</v>
      </c>
    </row>
    <row r="13" customFormat="false" ht="15" hidden="false" customHeight="false" outlineLevel="0" collapsed="false">
      <c r="A13" s="19" t="s">
        <v>56</v>
      </c>
      <c r="B13" s="29" t="n">
        <f aca="false">IF(B12="","",B12^2)</f>
        <v>3.0625</v>
      </c>
      <c r="C13" s="21" t="s">
        <v>57</v>
      </c>
    </row>
    <row r="14" customFormat="false" ht="15" hidden="false" customHeight="false" outlineLevel="0" collapsed="false">
      <c r="A14" s="19" t="s">
        <v>58</v>
      </c>
      <c r="B14" s="30" t="n">
        <f aca="false">IF(OR(B8="",B13=""),"",B8/B13)</f>
        <v>22.8571428571429</v>
      </c>
      <c r="C14" s="21" t="s">
        <v>59</v>
      </c>
    </row>
    <row r="15" customFormat="false" ht="15" hidden="false" customHeight="false" outlineLevel="0" collapsed="false">
      <c r="A15" s="19" t="s">
        <v>60</v>
      </c>
      <c r="B15" s="31" t="str">
        <f aca="false">IF(B14="","",IF(B14&lt;18.5,"Zayıf",IF(B14&lt;25,"Normal",IF(B14&lt;30,"Fazla kilolu","Obez"))))</f>
        <v>Normal</v>
      </c>
    </row>
    <row r="17" customFormat="false" ht="30" hidden="false" customHeight="true" outlineLevel="0" collapsed="false">
      <c r="A17" s="32" t="s">
        <v>61</v>
      </c>
      <c r="B17" s="32"/>
      <c r="C17" s="32"/>
      <c r="D17" s="32"/>
      <c r="E17" s="32"/>
      <c r="F17" s="32"/>
    </row>
    <row r="19" customFormat="false" ht="15" hidden="false" customHeight="false" outlineLevel="0" collapsed="false">
      <c r="A19" s="33" t="s">
        <v>62</v>
      </c>
      <c r="B19" s="34" t="s">
        <v>63</v>
      </c>
      <c r="C19" s="35" t="s">
        <v>64</v>
      </c>
    </row>
  </sheetData>
  <mergeCells count="4">
    <mergeCell ref="A1:F1"/>
    <mergeCell ref="A2:F2"/>
    <mergeCell ref="A5:F5"/>
    <mergeCell ref="A17:F17"/>
  </mergeCells>
  <conditionalFormatting sqref="B14:B15">
    <cfRule type="expression" priority="2" aboveAverage="0" equalAverage="0" bottom="0" percent="0" rank="0" text="" dxfId="0">
      <formula>$B$15="Zayıf"</formula>
    </cfRule>
    <cfRule type="expression" priority="3" aboveAverage="0" equalAverage="0" bottom="0" percent="0" rank="0" text="" dxfId="1">
      <formula>$B$15="Normal"</formula>
    </cfRule>
    <cfRule type="expression" priority="4" aboveAverage="0" equalAverage="0" bottom="0" percent="0" rank="0" text="" dxfId="2">
      <formula>$B$15="Fazla kilolu"</formula>
    </cfRule>
    <cfRule type="expression" priority="5" aboveAverage="0" equalAverage="0" bottom="0" percent="0" rank="0" text="" dxfId="3">
      <formula>$B$15="Obez"</formula>
    </cfRule>
  </conditionalFormatting>
  <conditionalFormatting sqref="E8:F11">
    <cfRule type="expression" priority="6" aboveAverage="0" equalAverage="0" bottom="0" percent="0" rank="0" text="" dxfId="4">
      <formula>$F8=$B$15</formula>
    </cfRule>
  </conditionalFormatting>
  <dataValidations count="2">
    <dataValidation allowBlank="false" error="Boy 40 ile 260 cm arasında bir sayı olmalıdır." errorStyle="stop" errorTitle="Hatalı giriş" operator="between" prompt="Boy 40 ile 260 cm arasında bir sayı olmalıdır." promptTitle="Boy" showDropDown="false" showErrorMessage="true" showInputMessage="true" sqref="B9" type="decimal">
      <formula1>40</formula1>
      <formula2>260</formula2>
    </dataValidation>
    <dataValidation allowBlank="false" error="Kilo 2 ile 500 kg arasında bir sayı olmalıdır." errorStyle="stop" errorTitle="Hatalı giriş" operator="between" prompt="Kilo 2 ile 500 kg arasında bir sayı olmalıdır." promptTitle="Kilo" showDropDown="false" showErrorMessage="true" showInputMessage="true" sqref="B8" type="decimal">
      <formula1>2</formula1>
      <formula2>500</formula2>
    </dataValidation>
  </dataValidations>
  <hyperlinks>
    <hyperlink ref="A3" location="'Ana Sayfa'!A1" display="← Ana Sayfaya Dö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4"/>
    <col collapsed="false" customWidth="true" hidden="false" outlineLevel="0" max="5" min="5" style="0" width="40"/>
  </cols>
  <sheetData>
    <row r="1" customFormat="false" ht="33.75" hidden="false" customHeight="true" outlineLevel="0" collapsed="false">
      <c r="A1" s="1" t="s">
        <v>65</v>
      </c>
      <c r="B1" s="1"/>
      <c r="C1" s="1"/>
      <c r="D1" s="1"/>
      <c r="E1" s="1"/>
    </row>
    <row r="2" customFormat="false" ht="30" hidden="false" customHeight="true" outlineLevel="0" collapsed="false">
      <c r="A2" s="2" t="s">
        <v>66</v>
      </c>
      <c r="B2" s="2"/>
      <c r="C2" s="2"/>
      <c r="D2" s="2"/>
      <c r="E2" s="2"/>
    </row>
    <row r="3" customFormat="false" ht="15" hidden="false" customHeight="false" outlineLevel="0" collapsed="false">
      <c r="A3" s="16" t="s">
        <v>35</v>
      </c>
    </row>
    <row r="5" customFormat="false" ht="30" hidden="false" customHeight="true" outlineLevel="0" collapsed="false">
      <c r="A5" s="17" t="s">
        <v>67</v>
      </c>
      <c r="B5" s="17"/>
      <c r="C5" s="17"/>
      <c r="D5" s="17"/>
      <c r="E5" s="17"/>
    </row>
    <row r="7" customFormat="false" ht="15" hidden="false" customHeight="false" outlineLevel="0" collapsed="false">
      <c r="A7" s="18" t="s">
        <v>37</v>
      </c>
      <c r="E7" s="18" t="s">
        <v>68</v>
      </c>
    </row>
    <row r="8" customFormat="false" ht="15" hidden="false" customHeight="false" outlineLevel="0" collapsed="false">
      <c r="A8" s="19" t="s">
        <v>44</v>
      </c>
      <c r="B8" s="23" t="n">
        <v>175</v>
      </c>
      <c r="C8" s="21" t="s">
        <v>45</v>
      </c>
      <c r="E8" s="36" t="s">
        <v>69</v>
      </c>
    </row>
    <row r="9" customFormat="false" ht="15" hidden="false" customHeight="false" outlineLevel="0" collapsed="false">
      <c r="A9" s="19" t="s">
        <v>40</v>
      </c>
      <c r="B9" s="20" t="n">
        <v>70</v>
      </c>
      <c r="C9" s="21" t="s">
        <v>41</v>
      </c>
      <c r="E9" s="36" t="s">
        <v>70</v>
      </c>
    </row>
    <row r="10" customFormat="false" ht="15" hidden="false" customHeight="false" outlineLevel="0" collapsed="false">
      <c r="E10" s="36" t="s">
        <v>71</v>
      </c>
    </row>
    <row r="11" customFormat="false" ht="15" hidden="false" customHeight="false" outlineLevel="0" collapsed="false">
      <c r="A11" s="18" t="s">
        <v>50</v>
      </c>
      <c r="E11" s="36" t="s">
        <v>72</v>
      </c>
    </row>
    <row r="12" customFormat="false" ht="15" hidden="false" customHeight="false" outlineLevel="0" collapsed="false">
      <c r="A12" s="19" t="s">
        <v>73</v>
      </c>
      <c r="B12" s="37" t="n">
        <f aca="false">IF(OR(B8="",B9=""),"",B8*B9)</f>
        <v>12250</v>
      </c>
      <c r="E12" s="36" t="s">
        <v>74</v>
      </c>
    </row>
    <row r="13" customFormat="false" ht="15" hidden="false" customHeight="false" outlineLevel="0" collapsed="false">
      <c r="A13" s="19" t="s">
        <v>75</v>
      </c>
      <c r="B13" s="29" t="n">
        <f aca="false">IF(B12="","",B12/3600)</f>
        <v>3.40277777777778</v>
      </c>
      <c r="E13" s="36" t="s">
        <v>76</v>
      </c>
    </row>
    <row r="14" customFormat="false" ht="15" hidden="false" customHeight="false" outlineLevel="0" collapsed="false">
      <c r="A14" s="19" t="s">
        <v>77</v>
      </c>
      <c r="B14" s="30" t="n">
        <f aca="false">IF(B13="","",SQRT(B13))</f>
        <v>1.84466196843155</v>
      </c>
      <c r="C14" s="21" t="s">
        <v>57</v>
      </c>
      <c r="E14" s="36" t="s">
        <v>78</v>
      </c>
    </row>
    <row r="16" customFormat="false" ht="15" hidden="false" customHeight="false" outlineLevel="0" collapsed="false">
      <c r="A16" s="33" t="s">
        <v>62</v>
      </c>
      <c r="B16" s="34" t="s">
        <v>63</v>
      </c>
      <c r="C16" s="35" t="s">
        <v>64</v>
      </c>
    </row>
  </sheetData>
  <mergeCells count="3">
    <mergeCell ref="A1:E1"/>
    <mergeCell ref="A2:E2"/>
    <mergeCell ref="A5:E5"/>
  </mergeCells>
  <dataValidations count="2">
    <dataValidation allowBlank="false" error="Boy 40 ile 260 cm arasında bir sayı olmalıdır." errorStyle="stop" errorTitle="Hatalı giriş" operator="between" prompt="Boy 40 ile 260 cm arasında bir sayı olmalıdır." promptTitle="Boy" showDropDown="false" showErrorMessage="true" showInputMessage="true" sqref="B8" type="decimal">
      <formula1>40</formula1>
      <formula2>260</formula2>
    </dataValidation>
    <dataValidation allowBlank="false" error="Kilo 2 ile 500 kg arasında bir sayı olmalıdır." errorStyle="stop" errorTitle="Hatalı giriş" operator="between" prompt="Kilo 2 ile 500 kg arasında bir sayı olmalıdır." promptTitle="Kilo" showDropDown="false" showErrorMessage="true" showInputMessage="true" sqref="B9" type="decimal">
      <formula1>2</formula1>
      <formula2>500</formula2>
    </dataValidation>
  </dataValidations>
  <hyperlinks>
    <hyperlink ref="A3" location="'Ana Sayfa'!A1" display="← Ana Sayfaya Dö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12" min="9" style="0" width="12"/>
  </cols>
  <sheetData>
    <row r="1" customFormat="false" ht="33.75" hidden="false" customHeight="true" outlineLevel="0" collapsed="false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16" t="s">
        <v>35</v>
      </c>
    </row>
    <row r="5" customFormat="false" ht="30" hidden="false" customHeight="true" outlineLevel="0" collapsed="false">
      <c r="A5" s="17" t="s">
        <v>81</v>
      </c>
      <c r="B5" s="17"/>
      <c r="C5" s="17"/>
      <c r="D5" s="17"/>
      <c r="E5" s="17"/>
      <c r="F5" s="17"/>
      <c r="G5" s="17"/>
    </row>
    <row r="6" customFormat="false" ht="15" hidden="false" customHeight="true" outlineLevel="0" collapsed="false">
      <c r="A6" s="38" t="s">
        <v>82</v>
      </c>
      <c r="B6" s="38"/>
      <c r="C6" s="38"/>
      <c r="D6" s="38"/>
      <c r="E6" s="38"/>
      <c r="F6" s="38"/>
      <c r="G6" s="38"/>
    </row>
    <row r="7" customFormat="false" ht="15" hidden="false" customHeight="false" outlineLevel="0" collapsed="false">
      <c r="E7" s="18" t="s">
        <v>83</v>
      </c>
    </row>
    <row r="8" customFormat="false" ht="30" hidden="false" customHeight="true" outlineLevel="0" collapsed="false">
      <c r="A8" s="18" t="s">
        <v>37</v>
      </c>
      <c r="E8" s="6" t="s">
        <v>84</v>
      </c>
      <c r="F8" s="6" t="s">
        <v>85</v>
      </c>
      <c r="G8" s="6" t="s">
        <v>86</v>
      </c>
    </row>
    <row r="9" customFormat="false" ht="15" hidden="false" customHeight="false" outlineLevel="0" collapsed="false">
      <c r="A9" s="19" t="s">
        <v>87</v>
      </c>
      <c r="B9" s="20" t="n">
        <v>500</v>
      </c>
      <c r="C9" s="21" t="s">
        <v>88</v>
      </c>
      <c r="E9" s="39" t="n">
        <v>0</v>
      </c>
      <c r="F9" s="40" t="n">
        <f aca="false">$B$9*(1/2)^(E9/$B$10)</f>
        <v>500</v>
      </c>
      <c r="G9" s="41" t="n">
        <f aca="false">F9/$B$9</f>
        <v>1</v>
      </c>
    </row>
    <row r="10" customFormat="false" ht="15" hidden="false" customHeight="false" outlineLevel="0" collapsed="false">
      <c r="A10" s="19" t="s">
        <v>89</v>
      </c>
      <c r="B10" s="20" t="n">
        <v>6</v>
      </c>
      <c r="C10" s="21" t="s">
        <v>90</v>
      </c>
      <c r="E10" s="39" t="n">
        <v>1</v>
      </c>
      <c r="F10" s="40" t="n">
        <f aca="false">$B$9*(1/2)^(E10/$B$10)</f>
        <v>445.44935907017</v>
      </c>
      <c r="G10" s="41" t="n">
        <f aca="false">F10/$B$9</f>
        <v>0.890898718140339</v>
      </c>
    </row>
    <row r="11" customFormat="false" ht="15" hidden="false" customHeight="false" outlineLevel="0" collapsed="false">
      <c r="A11" s="19" t="s">
        <v>91</v>
      </c>
      <c r="B11" s="20" t="n">
        <v>12</v>
      </c>
      <c r="C11" s="21" t="s">
        <v>90</v>
      </c>
      <c r="E11" s="39" t="n">
        <v>2</v>
      </c>
      <c r="F11" s="40" t="n">
        <f aca="false">$B$9*(1/2)^(E11/$B$10)</f>
        <v>396.85026299205</v>
      </c>
      <c r="G11" s="41" t="n">
        <f aca="false">F11/$B$9</f>
        <v>0.7937005259841</v>
      </c>
    </row>
    <row r="12" customFormat="false" ht="15" hidden="false" customHeight="false" outlineLevel="0" collapsed="false">
      <c r="E12" s="39" t="n">
        <v>3</v>
      </c>
      <c r="F12" s="40" t="n">
        <f aca="false">$B$9*(1/2)^(E12/$B$10)</f>
        <v>353.553390593274</v>
      </c>
      <c r="G12" s="41" t="n">
        <f aca="false">F12/$B$9</f>
        <v>0.707106781186548</v>
      </c>
    </row>
    <row r="13" customFormat="false" ht="15" hidden="false" customHeight="false" outlineLevel="0" collapsed="false">
      <c r="A13" s="18" t="s">
        <v>92</v>
      </c>
      <c r="E13" s="39" t="n">
        <v>4</v>
      </c>
      <c r="F13" s="40" t="n">
        <f aca="false">$B$9*(1/2)^(E13/$B$10)</f>
        <v>314.980262473718</v>
      </c>
      <c r="G13" s="41" t="n">
        <f aca="false">F13/$B$9</f>
        <v>0.629960524947437</v>
      </c>
    </row>
    <row r="14" customFormat="false" ht="15" hidden="false" customHeight="false" outlineLevel="0" collapsed="false">
      <c r="A14" s="19" t="s">
        <v>93</v>
      </c>
      <c r="B14" s="30" t="n">
        <f aca="false">B9*(1/2)^(B11/B10)</f>
        <v>125</v>
      </c>
      <c r="C14" s="21" t="s">
        <v>88</v>
      </c>
      <c r="E14" s="39" t="n">
        <v>5</v>
      </c>
      <c r="F14" s="40" t="n">
        <f aca="false">$B$9*(1/2)^(E14/$B$10)</f>
        <v>280.615512077343</v>
      </c>
      <c r="G14" s="41" t="n">
        <f aca="false">F14/$B$9</f>
        <v>0.561231024154687</v>
      </c>
    </row>
    <row r="15" customFormat="false" ht="15" hidden="false" customHeight="false" outlineLevel="0" collapsed="false">
      <c r="A15" s="19" t="s">
        <v>94</v>
      </c>
      <c r="B15" s="42" t="n">
        <f aca="false">B14/B9</f>
        <v>0.25</v>
      </c>
      <c r="E15" s="39" t="n">
        <v>6</v>
      </c>
      <c r="F15" s="40" t="n">
        <f aca="false">$B$9*(1/2)^(E15/$B$10)</f>
        <v>250</v>
      </c>
      <c r="G15" s="41" t="n">
        <f aca="false">F15/$B$9</f>
        <v>0.5</v>
      </c>
    </row>
    <row r="16" customFormat="false" ht="15" hidden="false" customHeight="false" outlineLevel="0" collapsed="false">
      <c r="A16" s="19" t="s">
        <v>95</v>
      </c>
      <c r="B16" s="27" t="n">
        <f aca="false">B11/B10</f>
        <v>2</v>
      </c>
      <c r="E16" s="39" t="n">
        <v>7</v>
      </c>
      <c r="F16" s="40" t="n">
        <f aca="false">$B$9*(1/2)^(E16/$B$10)</f>
        <v>222.724679535085</v>
      </c>
      <c r="G16" s="41" t="n">
        <f aca="false">F16/$B$9</f>
        <v>0.44544935907017</v>
      </c>
    </row>
    <row r="17" customFormat="false" ht="15" hidden="false" customHeight="false" outlineLevel="0" collapsed="false">
      <c r="A17" s="19" t="s">
        <v>96</v>
      </c>
      <c r="B17" s="30" t="n">
        <f aca="false">B9*(1/2)^(48/B10)</f>
        <v>1.953125</v>
      </c>
      <c r="C17" s="21" t="s">
        <v>88</v>
      </c>
      <c r="E17" s="39" t="n">
        <v>8</v>
      </c>
      <c r="F17" s="40" t="n">
        <f aca="false">$B$9*(1/2)^(E17/$B$10)</f>
        <v>198.425131496025</v>
      </c>
      <c r="G17" s="41" t="n">
        <f aca="false">F17/$B$9</f>
        <v>0.39685026299205</v>
      </c>
    </row>
    <row r="18" customFormat="false" ht="15" hidden="false" customHeight="false" outlineLevel="0" collapsed="false">
      <c r="A18" s="19" t="s">
        <v>97</v>
      </c>
      <c r="B18" s="43" t="n">
        <f aca="false">5*B10</f>
        <v>30</v>
      </c>
      <c r="C18" s="21" t="s">
        <v>90</v>
      </c>
      <c r="E18" s="39" t="n">
        <v>9</v>
      </c>
      <c r="F18" s="40" t="n">
        <f aca="false">$B$9*(1/2)^(E18/$B$10)</f>
        <v>176.776695296637</v>
      </c>
      <c r="G18" s="41" t="n">
        <f aca="false">F18/$B$9</f>
        <v>0.353553390593274</v>
      </c>
    </row>
    <row r="19" customFormat="false" ht="15" hidden="false" customHeight="false" outlineLevel="0" collapsed="false">
      <c r="A19" s="28" t="s">
        <v>98</v>
      </c>
      <c r="E19" s="39" t="n">
        <v>10</v>
      </c>
      <c r="F19" s="40" t="n">
        <f aca="false">$B$9*(1/2)^(E19/$B$10)</f>
        <v>157.490131236859</v>
      </c>
      <c r="G19" s="41" t="n">
        <f aca="false">F19/$B$9</f>
        <v>0.314980262473718</v>
      </c>
    </row>
    <row r="20" customFormat="false" ht="15" hidden="false" customHeight="false" outlineLevel="0" collapsed="false">
      <c r="E20" s="39" t="n">
        <v>11</v>
      </c>
      <c r="F20" s="40" t="n">
        <f aca="false">$B$9*(1/2)^(E20/$B$10)</f>
        <v>140.307756038672</v>
      </c>
      <c r="G20" s="41" t="n">
        <f aca="false">F20/$B$9</f>
        <v>0.280615512077343</v>
      </c>
    </row>
    <row r="21" customFormat="false" ht="15" hidden="false" customHeight="false" outlineLevel="0" collapsed="false">
      <c r="A21" s="33" t="s">
        <v>62</v>
      </c>
      <c r="B21" s="34" t="s">
        <v>63</v>
      </c>
      <c r="C21" s="35" t="s">
        <v>64</v>
      </c>
      <c r="E21" s="39" t="n">
        <v>12</v>
      </c>
      <c r="F21" s="40" t="n">
        <f aca="false">$B$9*(1/2)^(E21/$B$10)</f>
        <v>125</v>
      </c>
      <c r="G21" s="41" t="n">
        <f aca="false">F21/$B$9</f>
        <v>0.25</v>
      </c>
    </row>
    <row r="22" customFormat="false" ht="15" hidden="false" customHeight="false" outlineLevel="0" collapsed="false">
      <c r="E22" s="39" t="n">
        <v>13</v>
      </c>
      <c r="F22" s="40" t="n">
        <f aca="false">$B$9*(1/2)^(E22/$B$10)</f>
        <v>111.362339767542</v>
      </c>
      <c r="G22" s="41" t="n">
        <f aca="false">F22/$B$9</f>
        <v>0.222724679535085</v>
      </c>
    </row>
    <row r="23" customFormat="false" ht="15" hidden="false" customHeight="false" outlineLevel="0" collapsed="false">
      <c r="E23" s="39" t="n">
        <v>14</v>
      </c>
      <c r="F23" s="40" t="n">
        <f aca="false">$B$9*(1/2)^(E23/$B$10)</f>
        <v>99.2125657480125</v>
      </c>
      <c r="G23" s="41" t="n">
        <f aca="false">F23/$B$9</f>
        <v>0.198425131496025</v>
      </c>
    </row>
    <row r="24" customFormat="false" ht="15" hidden="false" customHeight="false" outlineLevel="0" collapsed="false">
      <c r="E24" s="39" t="n">
        <v>15</v>
      </c>
      <c r="F24" s="40" t="n">
        <f aca="false">$B$9*(1/2)^(E24/$B$10)</f>
        <v>88.3883476483184</v>
      </c>
      <c r="G24" s="41" t="n">
        <f aca="false">F24/$B$9</f>
        <v>0.176776695296637</v>
      </c>
    </row>
    <row r="25" customFormat="false" ht="15" hidden="false" customHeight="false" outlineLevel="0" collapsed="false">
      <c r="E25" s="39" t="n">
        <v>16</v>
      </c>
      <c r="F25" s="40" t="n">
        <f aca="false">$B$9*(1/2)^(E25/$B$10)</f>
        <v>78.7450656184296</v>
      </c>
      <c r="G25" s="41" t="n">
        <f aca="false">F25/$B$9</f>
        <v>0.157490131236859</v>
      </c>
    </row>
    <row r="26" customFormat="false" ht="15" hidden="false" customHeight="false" outlineLevel="0" collapsed="false">
      <c r="E26" s="39" t="n">
        <v>17</v>
      </c>
      <c r="F26" s="40" t="n">
        <f aca="false">$B$9*(1/2)^(E26/$B$10)</f>
        <v>70.1538780193358</v>
      </c>
      <c r="G26" s="41" t="n">
        <f aca="false">F26/$B$9</f>
        <v>0.140307756038672</v>
      </c>
    </row>
    <row r="27" customFormat="false" ht="15" hidden="false" customHeight="false" outlineLevel="0" collapsed="false">
      <c r="E27" s="39" t="n">
        <v>18</v>
      </c>
      <c r="F27" s="40" t="n">
        <f aca="false">$B$9*(1/2)^(E27/$B$10)</f>
        <v>62.5</v>
      </c>
      <c r="G27" s="41" t="n">
        <f aca="false">F27/$B$9</f>
        <v>0.125</v>
      </c>
    </row>
    <row r="28" customFormat="false" ht="15" hidden="false" customHeight="false" outlineLevel="0" collapsed="false">
      <c r="E28" s="39" t="n">
        <v>19</v>
      </c>
      <c r="F28" s="40" t="n">
        <f aca="false">$B$9*(1/2)^(E28/$B$10)</f>
        <v>55.6811698837712</v>
      </c>
      <c r="G28" s="41" t="n">
        <f aca="false">F28/$B$9</f>
        <v>0.111362339767542</v>
      </c>
    </row>
    <row r="29" customFormat="false" ht="15" hidden="false" customHeight="false" outlineLevel="0" collapsed="false">
      <c r="E29" s="39" t="n">
        <v>20</v>
      </c>
      <c r="F29" s="40" t="n">
        <f aca="false">$B$9*(1/2)^(E29/$B$10)</f>
        <v>49.6062828740062</v>
      </c>
      <c r="G29" s="41" t="n">
        <f aca="false">F29/$B$9</f>
        <v>0.0992125657480125</v>
      </c>
    </row>
    <row r="30" customFormat="false" ht="15" hidden="false" customHeight="false" outlineLevel="0" collapsed="false">
      <c r="E30" s="39" t="n">
        <v>21</v>
      </c>
      <c r="F30" s="40" t="n">
        <f aca="false">$B$9*(1/2)^(E30/$B$10)</f>
        <v>44.1941738241592</v>
      </c>
      <c r="G30" s="41" t="n">
        <f aca="false">F30/$B$9</f>
        <v>0.0883883476483185</v>
      </c>
    </row>
    <row r="31" customFormat="false" ht="15" hidden="false" customHeight="false" outlineLevel="0" collapsed="false">
      <c r="E31" s="39" t="n">
        <v>22</v>
      </c>
      <c r="F31" s="40" t="n">
        <f aca="false">$B$9*(1/2)^(E31/$B$10)</f>
        <v>39.3725328092148</v>
      </c>
      <c r="G31" s="41" t="n">
        <f aca="false">F31/$B$9</f>
        <v>0.0787450656184296</v>
      </c>
    </row>
    <row r="32" customFormat="false" ht="15" hidden="false" customHeight="false" outlineLevel="0" collapsed="false">
      <c r="E32" s="39" t="n">
        <v>23</v>
      </c>
      <c r="F32" s="40" t="n">
        <f aca="false">$B$9*(1/2)^(E32/$B$10)</f>
        <v>35.0769390096679</v>
      </c>
      <c r="G32" s="41" t="n">
        <f aca="false">F32/$B$9</f>
        <v>0.0701538780193358</v>
      </c>
    </row>
    <row r="33" customFormat="false" ht="15" hidden="false" customHeight="false" outlineLevel="0" collapsed="false">
      <c r="E33" s="39" t="n">
        <v>24</v>
      </c>
      <c r="F33" s="40" t="n">
        <f aca="false">$B$9*(1/2)^(E33/$B$10)</f>
        <v>31.25</v>
      </c>
      <c r="G33" s="41" t="n">
        <f aca="false">F33/$B$9</f>
        <v>0.0625</v>
      </c>
    </row>
    <row r="34" customFormat="false" ht="15" hidden="false" customHeight="false" outlineLevel="0" collapsed="false">
      <c r="E34" s="39" t="n">
        <v>25</v>
      </c>
      <c r="F34" s="40" t="n">
        <f aca="false">$B$9*(1/2)^(E34/$B$10)</f>
        <v>27.8405849418856</v>
      </c>
      <c r="G34" s="41" t="n">
        <f aca="false">F34/$B$9</f>
        <v>0.0556811698837712</v>
      </c>
    </row>
    <row r="35" customFormat="false" ht="15" hidden="false" customHeight="false" outlineLevel="0" collapsed="false">
      <c r="E35" s="39" t="n">
        <v>26</v>
      </c>
      <c r="F35" s="40" t="n">
        <f aca="false">$B$9*(1/2)^(E35/$B$10)</f>
        <v>24.8031414370031</v>
      </c>
      <c r="G35" s="41" t="n">
        <f aca="false">F35/$B$9</f>
        <v>0.0496062828740062</v>
      </c>
    </row>
    <row r="36" customFormat="false" ht="15" hidden="false" customHeight="false" outlineLevel="0" collapsed="false">
      <c r="E36" s="39" t="n">
        <v>27</v>
      </c>
      <c r="F36" s="40" t="n">
        <f aca="false">$B$9*(1/2)^(E36/$B$10)</f>
        <v>22.0970869120796</v>
      </c>
      <c r="G36" s="41" t="n">
        <f aca="false">F36/$B$9</f>
        <v>0.0441941738241592</v>
      </c>
    </row>
    <row r="37" customFormat="false" ht="15" hidden="false" customHeight="false" outlineLevel="0" collapsed="false">
      <c r="E37" s="39" t="n">
        <v>28</v>
      </c>
      <c r="F37" s="40" t="n">
        <f aca="false">$B$9*(1/2)^(E37/$B$10)</f>
        <v>19.6862664046074</v>
      </c>
      <c r="G37" s="41" t="n">
        <f aca="false">F37/$B$9</f>
        <v>0.0393725328092148</v>
      </c>
    </row>
    <row r="38" customFormat="false" ht="15" hidden="false" customHeight="false" outlineLevel="0" collapsed="false">
      <c r="E38" s="39" t="n">
        <v>29</v>
      </c>
      <c r="F38" s="40" t="n">
        <f aca="false">$B$9*(1/2)^(E38/$B$10)</f>
        <v>17.538469504834</v>
      </c>
      <c r="G38" s="41" t="n">
        <f aca="false">F38/$B$9</f>
        <v>0.0350769390096679</v>
      </c>
    </row>
    <row r="39" customFormat="false" ht="15" hidden="false" customHeight="false" outlineLevel="0" collapsed="false">
      <c r="E39" s="39" t="n">
        <v>30</v>
      </c>
      <c r="F39" s="40" t="n">
        <f aca="false">$B$9*(1/2)^(E39/$B$10)</f>
        <v>15.625</v>
      </c>
      <c r="G39" s="41" t="n">
        <f aca="false">F39/$B$9</f>
        <v>0.03125</v>
      </c>
    </row>
    <row r="40" customFormat="false" ht="15" hidden="false" customHeight="false" outlineLevel="0" collapsed="false">
      <c r="E40" s="39" t="n">
        <v>31</v>
      </c>
      <c r="F40" s="40" t="n">
        <f aca="false">$B$9*(1/2)^(E40/$B$10)</f>
        <v>13.9202924709428</v>
      </c>
      <c r="G40" s="41" t="n">
        <f aca="false">F40/$B$9</f>
        <v>0.0278405849418856</v>
      </c>
    </row>
    <row r="41" customFormat="false" ht="15" hidden="false" customHeight="false" outlineLevel="0" collapsed="false">
      <c r="E41" s="39" t="n">
        <v>32</v>
      </c>
      <c r="F41" s="40" t="n">
        <f aca="false">$B$9*(1/2)^(E41/$B$10)</f>
        <v>12.4015707185016</v>
      </c>
      <c r="G41" s="41" t="n">
        <f aca="false">F41/$B$9</f>
        <v>0.0248031414370031</v>
      </c>
    </row>
    <row r="42" customFormat="false" ht="15" hidden="false" customHeight="false" outlineLevel="0" collapsed="false">
      <c r="E42" s="39" t="n">
        <v>33</v>
      </c>
      <c r="F42" s="40" t="n">
        <f aca="false">$B$9*(1/2)^(E42/$B$10)</f>
        <v>11.0485434560398</v>
      </c>
      <c r="G42" s="41" t="n">
        <f aca="false">F42/$B$9</f>
        <v>0.0220970869120796</v>
      </c>
    </row>
    <row r="43" customFormat="false" ht="15" hidden="false" customHeight="false" outlineLevel="0" collapsed="false">
      <c r="E43" s="39" t="n">
        <v>34</v>
      </c>
      <c r="F43" s="40" t="n">
        <f aca="false">$B$9*(1/2)^(E43/$B$10)</f>
        <v>9.8431332023037</v>
      </c>
      <c r="G43" s="41" t="n">
        <f aca="false">F43/$B$9</f>
        <v>0.0196862664046074</v>
      </c>
    </row>
    <row r="44" customFormat="false" ht="15" hidden="false" customHeight="false" outlineLevel="0" collapsed="false">
      <c r="E44" s="39" t="n">
        <v>35</v>
      </c>
      <c r="F44" s="40" t="n">
        <f aca="false">$B$9*(1/2)^(E44/$B$10)</f>
        <v>8.76923475241698</v>
      </c>
      <c r="G44" s="41" t="n">
        <f aca="false">F44/$B$9</f>
        <v>0.017538469504834</v>
      </c>
    </row>
    <row r="45" customFormat="false" ht="15" hidden="false" customHeight="false" outlineLevel="0" collapsed="false">
      <c r="E45" s="39" t="n">
        <v>36</v>
      </c>
      <c r="F45" s="40" t="n">
        <f aca="false">$B$9*(1/2)^(E45/$B$10)</f>
        <v>7.8125</v>
      </c>
      <c r="G45" s="41" t="n">
        <f aca="false">F45/$B$9</f>
        <v>0.015625</v>
      </c>
    </row>
    <row r="46" customFormat="false" ht="15" hidden="false" customHeight="false" outlineLevel="0" collapsed="false">
      <c r="E46" s="39" t="n">
        <v>37</v>
      </c>
      <c r="F46" s="40" t="n">
        <f aca="false">$B$9*(1/2)^(E46/$B$10)</f>
        <v>6.9601462354714</v>
      </c>
      <c r="G46" s="41" t="n">
        <f aca="false">F46/$B$9</f>
        <v>0.0139202924709428</v>
      </c>
    </row>
    <row r="47" customFormat="false" ht="15" hidden="false" customHeight="false" outlineLevel="0" collapsed="false">
      <c r="E47" s="39" t="n">
        <v>38</v>
      </c>
      <c r="F47" s="40" t="n">
        <f aca="false">$B$9*(1/2)^(E47/$B$10)</f>
        <v>6.20078535925078</v>
      </c>
      <c r="G47" s="41" t="n">
        <f aca="false">F47/$B$9</f>
        <v>0.0124015707185016</v>
      </c>
    </row>
    <row r="48" customFormat="false" ht="15" hidden="false" customHeight="false" outlineLevel="0" collapsed="false">
      <c r="E48" s="39" t="n">
        <v>39</v>
      </c>
      <c r="F48" s="40" t="n">
        <f aca="false">$B$9*(1/2)^(E48/$B$10)</f>
        <v>5.5242717280199</v>
      </c>
      <c r="G48" s="41" t="n">
        <f aca="false">F48/$B$9</f>
        <v>0.0110485434560398</v>
      </c>
    </row>
    <row r="49" customFormat="false" ht="15" hidden="false" customHeight="false" outlineLevel="0" collapsed="false">
      <c r="E49" s="39" t="n">
        <v>40</v>
      </c>
      <c r="F49" s="40" t="n">
        <f aca="false">$B$9*(1/2)^(E49/$B$10)</f>
        <v>4.92156660115185</v>
      </c>
      <c r="G49" s="41" t="n">
        <f aca="false">F49/$B$9</f>
        <v>0.0098431332023037</v>
      </c>
    </row>
    <row r="50" customFormat="false" ht="15" hidden="false" customHeight="false" outlineLevel="0" collapsed="false">
      <c r="E50" s="39" t="n">
        <v>41</v>
      </c>
      <c r="F50" s="40" t="n">
        <f aca="false">$B$9*(1/2)^(E50/$B$10)</f>
        <v>4.38461737620849</v>
      </c>
      <c r="G50" s="41" t="n">
        <f aca="false">F50/$B$9</f>
        <v>0.00876923475241698</v>
      </c>
    </row>
    <row r="51" customFormat="false" ht="15" hidden="false" customHeight="false" outlineLevel="0" collapsed="false">
      <c r="E51" s="39" t="n">
        <v>42</v>
      </c>
      <c r="F51" s="40" t="n">
        <f aca="false">$B$9*(1/2)^(E51/$B$10)</f>
        <v>3.90625</v>
      </c>
      <c r="G51" s="41" t="n">
        <f aca="false">F51/$B$9</f>
        <v>0.0078125</v>
      </c>
    </row>
    <row r="52" customFormat="false" ht="15" hidden="false" customHeight="false" outlineLevel="0" collapsed="false">
      <c r="E52" s="39" t="n">
        <v>43</v>
      </c>
      <c r="F52" s="40" t="n">
        <f aca="false">$B$9*(1/2)^(E52/$B$10)</f>
        <v>3.4800731177357</v>
      </c>
      <c r="G52" s="41" t="n">
        <f aca="false">F52/$B$9</f>
        <v>0.0069601462354714</v>
      </c>
    </row>
    <row r="53" customFormat="false" ht="15" hidden="false" customHeight="false" outlineLevel="0" collapsed="false">
      <c r="E53" s="39" t="n">
        <v>44</v>
      </c>
      <c r="F53" s="40" t="n">
        <f aca="false">$B$9*(1/2)^(E53/$B$10)</f>
        <v>3.10039267962539</v>
      </c>
      <c r="G53" s="41" t="n">
        <f aca="false">F53/$B$9</f>
        <v>0.00620078535925078</v>
      </c>
    </row>
    <row r="54" customFormat="false" ht="15" hidden="false" customHeight="false" outlineLevel="0" collapsed="false">
      <c r="E54" s="39" t="n">
        <v>45</v>
      </c>
      <c r="F54" s="40" t="n">
        <f aca="false">$B$9*(1/2)^(E54/$B$10)</f>
        <v>2.76213586400995</v>
      </c>
      <c r="G54" s="41" t="n">
        <f aca="false">F54/$B$9</f>
        <v>0.0055242717280199</v>
      </c>
    </row>
    <row r="55" customFormat="false" ht="15" hidden="false" customHeight="false" outlineLevel="0" collapsed="false">
      <c r="E55" s="39" t="n">
        <v>46</v>
      </c>
      <c r="F55" s="40" t="n">
        <f aca="false">$B$9*(1/2)^(E55/$B$10)</f>
        <v>2.46078330057592</v>
      </c>
      <c r="G55" s="41" t="n">
        <f aca="false">F55/$B$9</f>
        <v>0.00492156660115185</v>
      </c>
    </row>
    <row r="56" customFormat="false" ht="15" hidden="false" customHeight="false" outlineLevel="0" collapsed="false">
      <c r="E56" s="39" t="n">
        <v>47</v>
      </c>
      <c r="F56" s="40" t="n">
        <f aca="false">$B$9*(1/2)^(E56/$B$10)</f>
        <v>2.19230868810424</v>
      </c>
      <c r="G56" s="41" t="n">
        <f aca="false">F56/$B$9</f>
        <v>0.00438461737620849</v>
      </c>
    </row>
    <row r="57" customFormat="false" ht="15" hidden="false" customHeight="false" outlineLevel="0" collapsed="false">
      <c r="E57" s="39" t="n">
        <v>48</v>
      </c>
      <c r="F57" s="40" t="n">
        <f aca="false">$B$9*(1/2)^(E57/$B$10)</f>
        <v>1.953125</v>
      </c>
      <c r="G57" s="41" t="n">
        <f aca="false">F57/$B$9</f>
        <v>0.00390625</v>
      </c>
    </row>
    <row r="58" customFormat="false" ht="15" hidden="false" customHeight="false" outlineLevel="0" collapsed="false">
      <c r="I58" s="28" t="s">
        <v>99</v>
      </c>
    </row>
  </sheetData>
  <mergeCells count="4">
    <mergeCell ref="A1:L1"/>
    <mergeCell ref="A2:L2"/>
    <mergeCell ref="A5:G5"/>
    <mergeCell ref="A6:G6"/>
  </mergeCells>
  <conditionalFormatting sqref="E9:G57">
    <cfRule type="expression" priority="2" aboveAverage="0" equalAverage="0" bottom="0" percent="0" rank="0" text="" dxfId="5">
      <formula>AND($E9&gt;0,MOD($E9,$B$10)=0)</formula>
    </cfRule>
  </conditionalFormatting>
  <dataValidations count="3">
    <dataValidation allowBlank="false" error="Doz 0'dan büyük bir sayı olmalıdır (mg)." errorStyle="stop" errorTitle="Hatalı giriş" operator="between" prompt="Doz 0'dan büyük bir sayı olmalıdır (mg)." promptTitle="Başlangıç dozu" showDropDown="false" showErrorMessage="true" showInputMessage="true" sqref="B9" type="decimal">
      <formula1>0.001</formula1>
      <formula2>100000</formula2>
    </dataValidation>
    <dataValidation allowBlank="false" error="Yarılanma süresi 0'dan büyük bir sayı olmalıdır (saat)." errorStyle="stop" errorTitle="Hatalı giriş" operator="between" prompt="Yarılanma süresi 0'dan büyük bir sayı olmalıdır (saat)." promptTitle="Yarılanma süresi" showDropDown="false" showErrorMessage="true" showInputMessage="true" sqref="B10" type="decimal">
      <formula1>0.01</formula1>
      <formula2>1000</formula2>
    </dataValidation>
    <dataValidation allowBlank="false" error="Zaman 0 veya pozitif bir sayı olmalıdır." errorStyle="stop" errorTitle="Hatalı giriş" operator="between" prompt="Zaman 0 veya pozitif bir sayı olmalıdır." promptTitle="Zaman" showDropDown="false" showErrorMessage="true" showInputMessage="true" sqref="B11" type="decimal">
      <formula1>0</formula1>
      <formula2>10000</formula2>
    </dataValidation>
  </dataValidations>
  <hyperlinks>
    <hyperlink ref="A3" location="'Ana Sayfa'!A1" display="← Ana Sayfaya Dö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N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3"/>
    <col collapsed="false" customWidth="true" hidden="false" outlineLevel="0" max="5" min="5" style="0" width="8"/>
    <col collapsed="false" customWidth="true" hidden="false" outlineLevel="0" max="8" min="6" style="0" width="14"/>
    <col collapsed="false" customWidth="true" hidden="false" outlineLevel="0" max="9" min="9" style="0" width="16"/>
    <col collapsed="false" customWidth="true" hidden="false" outlineLevel="0" max="10" min="10" style="0" width="3"/>
    <col collapsed="false" customWidth="true" hidden="false" outlineLevel="0" max="14" min="11" style="0" width="10"/>
  </cols>
  <sheetData>
    <row r="1" customFormat="false" ht="33.75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16" t="s">
        <v>35</v>
      </c>
    </row>
    <row r="5" customFormat="false" ht="30" hidden="false" customHeight="true" outlineLevel="0" collapsed="false">
      <c r="A5" s="17" t="s">
        <v>102</v>
      </c>
      <c r="B5" s="17"/>
      <c r="C5" s="17"/>
      <c r="D5" s="17"/>
      <c r="E5" s="17"/>
      <c r="F5" s="17"/>
      <c r="G5" s="17"/>
      <c r="H5" s="17"/>
      <c r="I5" s="17"/>
    </row>
    <row r="6" customFormat="false" ht="30" hidden="false" customHeight="true" outlineLevel="0" collapsed="false">
      <c r="A6" s="17" t="s">
        <v>103</v>
      </c>
      <c r="B6" s="17"/>
      <c r="C6" s="17"/>
      <c r="D6" s="17"/>
      <c r="E6" s="17"/>
      <c r="F6" s="17"/>
      <c r="G6" s="17"/>
      <c r="H6" s="17"/>
      <c r="I6" s="17"/>
    </row>
    <row r="7" customFormat="false" ht="15" hidden="false" customHeight="true" outlineLevel="0" collapsed="false">
      <c r="A7" s="38" t="s">
        <v>104</v>
      </c>
      <c r="B7" s="38"/>
      <c r="C7" s="38"/>
      <c r="D7" s="38"/>
      <c r="E7" s="38"/>
      <c r="F7" s="38"/>
      <c r="G7" s="38"/>
      <c r="H7" s="38"/>
      <c r="I7" s="38"/>
    </row>
    <row r="9" customFormat="false" ht="15" hidden="false" customHeight="false" outlineLevel="0" collapsed="false">
      <c r="A9" s="18" t="s">
        <v>37</v>
      </c>
      <c r="E9" s="18" t="s">
        <v>105</v>
      </c>
    </row>
    <row r="10" customFormat="false" ht="15" hidden="false" customHeight="false" outlineLevel="0" collapsed="false">
      <c r="A10" s="19" t="s">
        <v>106</v>
      </c>
      <c r="B10" s="44" t="n">
        <v>10000</v>
      </c>
      <c r="C10" s="21" t="s">
        <v>107</v>
      </c>
    </row>
    <row r="11" customFormat="false" ht="15" hidden="false" customHeight="false" outlineLevel="0" collapsed="false">
      <c r="A11" s="19" t="s">
        <v>108</v>
      </c>
      <c r="B11" s="44" t="n">
        <v>10</v>
      </c>
      <c r="C11" s="21" t="s">
        <v>107</v>
      </c>
    </row>
    <row r="12" customFormat="false" ht="15" hidden="false" customHeight="false" outlineLevel="0" collapsed="false">
      <c r="A12" s="19" t="s">
        <v>109</v>
      </c>
      <c r="B12" s="45" t="n">
        <v>0.3</v>
      </c>
      <c r="C12" s="21" t="s">
        <v>110</v>
      </c>
    </row>
    <row r="13" customFormat="false" ht="15" hidden="false" customHeight="false" outlineLevel="0" collapsed="false">
      <c r="A13" s="19" t="s">
        <v>111</v>
      </c>
      <c r="B13" s="45" t="n">
        <v>0.1</v>
      </c>
      <c r="C13" s="21" t="s">
        <v>110</v>
      </c>
    </row>
    <row r="15" customFormat="false" ht="15" hidden="false" customHeight="false" outlineLevel="0" collapsed="false">
      <c r="A15" s="18" t="s">
        <v>92</v>
      </c>
    </row>
    <row r="16" customFormat="false" ht="15" hidden="false" customHeight="false" outlineLevel="0" collapsed="false">
      <c r="A16" s="19" t="s">
        <v>112</v>
      </c>
      <c r="B16" s="30" t="n">
        <f aca="false">B12/B13</f>
        <v>3</v>
      </c>
      <c r="E16" s="46" t="s">
        <v>113</v>
      </c>
      <c r="F16" s="46"/>
      <c r="G16" s="46"/>
      <c r="H16" s="46"/>
      <c r="I16" s="46"/>
    </row>
    <row r="17" customFormat="false" ht="30" hidden="false" customHeight="true" outlineLevel="0" collapsed="false">
      <c r="A17" s="19" t="s">
        <v>114</v>
      </c>
      <c r="B17" s="31" t="str">
        <f aca="false">IF(B16&gt;1,"Yayılır (R₀ &gt; 1)","Söner (R₀ ≤ 1)")</f>
        <v>Yayılır (R₀ &gt; 1)</v>
      </c>
      <c r="E17" s="6" t="s">
        <v>115</v>
      </c>
      <c r="F17" s="6" t="s">
        <v>116</v>
      </c>
      <c r="G17" s="6" t="s">
        <v>117</v>
      </c>
      <c r="H17" s="6" t="s">
        <v>118</v>
      </c>
      <c r="I17" s="6" t="s">
        <v>119</v>
      </c>
    </row>
    <row r="18" customFormat="false" ht="15" hidden="false" customHeight="false" outlineLevel="0" collapsed="false">
      <c r="A18" s="19" t="s">
        <v>120</v>
      </c>
      <c r="B18" s="43" t="n">
        <f aca="false">1/B13</f>
        <v>10</v>
      </c>
      <c r="C18" s="21" t="s">
        <v>121</v>
      </c>
      <c r="E18" s="47" t="n">
        <v>0</v>
      </c>
      <c r="F18" s="48" t="n">
        <f aca="false">$B$10-$B$11</f>
        <v>9990</v>
      </c>
      <c r="G18" s="48" t="n">
        <f aca="false">$B$11</f>
        <v>10</v>
      </c>
      <c r="H18" s="48" t="n">
        <v>0</v>
      </c>
      <c r="I18" s="48" t="n">
        <f aca="false">F18+G18+H18</f>
        <v>10000</v>
      </c>
    </row>
    <row r="19" customFormat="false" ht="15" hidden="false" customHeight="false" outlineLevel="0" collapsed="false">
      <c r="A19" s="19" t="s">
        <v>122</v>
      </c>
      <c r="B19" s="49" t="n">
        <f aca="false">MAX(G18:G118)</f>
        <v>3127.31451136777</v>
      </c>
      <c r="C19" s="21" t="s">
        <v>107</v>
      </c>
      <c r="E19" s="47" t="n">
        <v>1</v>
      </c>
      <c r="F19" s="48" t="n">
        <f aca="false">F18-$B$12*F18*G18/$B$10</f>
        <v>9987.003</v>
      </c>
      <c r="G19" s="48" t="n">
        <f aca="false">G18+$B$12*F18*G18/$B$10-$B$13*G18</f>
        <v>11.997</v>
      </c>
      <c r="H19" s="48" t="n">
        <f aca="false">H18+$B$13*G18</f>
        <v>1</v>
      </c>
      <c r="I19" s="48" t="n">
        <f aca="false">F19+G19+H19</f>
        <v>10000</v>
      </c>
    </row>
    <row r="20" customFormat="false" ht="15" hidden="false" customHeight="false" outlineLevel="0" collapsed="false">
      <c r="A20" s="19" t="s">
        <v>123</v>
      </c>
      <c r="B20" s="50" t="n">
        <f aca="false">INDEX(E18:E118,MATCH(B19,G18:G118,0))</f>
        <v>41</v>
      </c>
      <c r="C20" s="21" t="s">
        <v>124</v>
      </c>
      <c r="E20" s="47" t="n">
        <v>2</v>
      </c>
      <c r="F20" s="48" t="n">
        <f aca="false">F19-$B$12*F19*G19/$B$10</f>
        <v>9983.40857775027</v>
      </c>
      <c r="G20" s="48" t="n">
        <f aca="false">G19+$B$12*F19*G19/$B$10-$B$13*G19</f>
        <v>14.39172224973</v>
      </c>
      <c r="H20" s="48" t="n">
        <f aca="false">H19+$B$13*G19</f>
        <v>2.1997</v>
      </c>
      <c r="I20" s="48" t="n">
        <f aca="false">F20+G20+H20</f>
        <v>10000</v>
      </c>
    </row>
    <row r="21" customFormat="false" ht="15" hidden="false" customHeight="false" outlineLevel="0" collapsed="false">
      <c r="A21" s="19" t="s">
        <v>125</v>
      </c>
      <c r="B21" s="49" t="n">
        <f aca="false">B10-F118</f>
        <v>9460.22070489276</v>
      </c>
      <c r="C21" s="21" t="s">
        <v>107</v>
      </c>
      <c r="E21" s="47" t="n">
        <v>3</v>
      </c>
      <c r="F21" s="48" t="n">
        <f aca="false">F20-$B$12*F20*G20/$B$10</f>
        <v>9979.09822444958</v>
      </c>
      <c r="G21" s="48" t="n">
        <f aca="false">G20+$B$12*F20*G20/$B$10-$B$13*G20</f>
        <v>17.2629033254536</v>
      </c>
      <c r="H21" s="48" t="n">
        <f aca="false">H20+$B$13*G20</f>
        <v>3.638872224973</v>
      </c>
      <c r="I21" s="48" t="n">
        <f aca="false">F21+G21+H21</f>
        <v>10000</v>
      </c>
    </row>
    <row r="22" customFormat="false" ht="15" hidden="false" customHeight="false" outlineLevel="0" collapsed="false">
      <c r="A22" s="19" t="s">
        <v>126</v>
      </c>
      <c r="B22" s="51" t="n">
        <f aca="false">B21/B10</f>
        <v>0.946022070489276</v>
      </c>
      <c r="E22" s="47" t="n">
        <v>4</v>
      </c>
      <c r="F22" s="48" t="n">
        <f aca="false">F21-$B$12*F21*G21/$B$10</f>
        <v>9973.93017821186</v>
      </c>
      <c r="G22" s="48" t="n">
        <f aca="false">G21+$B$12*F21*G21/$B$10-$B$13*G21</f>
        <v>20.7046592306246</v>
      </c>
      <c r="H22" s="48" t="n">
        <f aca="false">H21+$B$13*G21</f>
        <v>5.36516255751836</v>
      </c>
      <c r="I22" s="48" t="n">
        <f aca="false">F22+G22+H22</f>
        <v>10000</v>
      </c>
    </row>
    <row r="23" customFormat="false" ht="15" hidden="false" customHeight="false" outlineLevel="0" collapsed="false">
      <c r="E23" s="47" t="n">
        <v>5</v>
      </c>
      <c r="F23" s="48" t="n">
        <f aca="false">F22-$B$12*F22*G22/$B$10</f>
        <v>9967.73497344596</v>
      </c>
      <c r="G23" s="48" t="n">
        <f aca="false">G22+$B$12*F22*G22/$B$10-$B$13*G22</f>
        <v>24.8293980734598</v>
      </c>
      <c r="H23" s="48" t="n">
        <f aca="false">H22+$B$13*G22</f>
        <v>7.43562848058082</v>
      </c>
      <c r="I23" s="48" t="n">
        <f aca="false">F23+G23+H23</f>
        <v>10000</v>
      </c>
    </row>
    <row r="24" customFormat="false" ht="15" hidden="false" customHeight="false" outlineLevel="0" collapsed="false">
      <c r="A24" s="33" t="s">
        <v>62</v>
      </c>
      <c r="B24" s="34" t="s">
        <v>63</v>
      </c>
      <c r="C24" s="35" t="s">
        <v>64</v>
      </c>
      <c r="E24" s="47" t="n">
        <v>6</v>
      </c>
      <c r="F24" s="48" t="n">
        <f aca="false">F23-$B$12*F23*G23/$B$10</f>
        <v>9960.31018765957</v>
      </c>
      <c r="G24" s="48" t="n">
        <f aca="false">G23+$B$12*F23*G23/$B$10-$B$13*G23</f>
        <v>29.7712440525069</v>
      </c>
      <c r="H24" s="48" t="n">
        <f aca="false">H23+$B$13*G23</f>
        <v>9.9185682879268</v>
      </c>
      <c r="I24" s="48" t="n">
        <f aca="false">F24+G24+H24</f>
        <v>10000</v>
      </c>
    </row>
    <row r="25" customFormat="false" ht="15" hidden="false" customHeight="false" outlineLevel="0" collapsed="false">
      <c r="E25" s="47" t="n">
        <v>7</v>
      </c>
      <c r="F25" s="48" t="n">
        <f aca="false">F24-$B$12*F24*G24/$B$10</f>
        <v>9951.4142628965</v>
      </c>
      <c r="G25" s="48" t="n">
        <f aca="false">G24+$B$12*F24*G24/$B$10-$B$13*G24</f>
        <v>35.6900444103207</v>
      </c>
      <c r="H25" s="48" t="n">
        <f aca="false">H24+$B$13*G24</f>
        <v>12.8956926931775</v>
      </c>
      <c r="I25" s="48" t="n">
        <f aca="false">F25+G25+H25</f>
        <v>10000</v>
      </c>
    </row>
    <row r="26" customFormat="false" ht="15" hidden="false" customHeight="true" outlineLevel="0" collapsed="false">
      <c r="A26" s="52" t="s">
        <v>127</v>
      </c>
      <c r="B26" s="52"/>
      <c r="E26" s="47" t="n">
        <v>8</v>
      </c>
      <c r="F26" s="48" t="n">
        <f aca="false">F25-$B$12*F25*G25/$B$10</f>
        <v>9940.75927038685</v>
      </c>
      <c r="G26" s="48" t="n">
        <f aca="false">G25+$B$12*F25*G25/$B$10-$B$13*G25</f>
        <v>42.7760324789369</v>
      </c>
      <c r="H26" s="48" t="n">
        <f aca="false">H25+$B$13*G25</f>
        <v>16.4646971342096</v>
      </c>
      <c r="I26" s="48" t="n">
        <f aca="false">F26+G26+H26</f>
        <v>10000</v>
      </c>
    </row>
    <row r="27" customFormat="false" ht="15" hidden="false" customHeight="false" outlineLevel="0" collapsed="false">
      <c r="A27" s="52"/>
      <c r="B27" s="52"/>
      <c r="E27" s="47" t="n">
        <v>9</v>
      </c>
      <c r="F27" s="48" t="n">
        <f aca="false">F26-$B$12*F26*G26/$B$10</f>
        <v>9928.00248314439</v>
      </c>
      <c r="G27" s="48" t="n">
        <f aca="false">G26+$B$12*F26*G26/$B$10-$B$13*G26</f>
        <v>51.255216473504</v>
      </c>
      <c r="H27" s="48" t="n">
        <f aca="false">H26+$B$13*G26</f>
        <v>20.7423003821032</v>
      </c>
      <c r="I27" s="48" t="n">
        <f aca="false">F27+G27+H27</f>
        <v>10000</v>
      </c>
    </row>
    <row r="28" customFormat="false" ht="15" hidden="false" customHeight="false" outlineLevel="0" collapsed="false">
      <c r="A28" s="52"/>
      <c r="B28" s="52"/>
      <c r="E28" s="47" t="n">
        <v>10</v>
      </c>
      <c r="F28" s="48" t="n">
        <f aca="false">F27-$B$12*F27*G27/$B$10</f>
        <v>9912.7366256517</v>
      </c>
      <c r="G28" s="48" t="n">
        <f aca="false">G27+$B$12*F27*G27/$B$10-$B$13*G27</f>
        <v>61.3955523188451</v>
      </c>
      <c r="H28" s="48" t="n">
        <f aca="false">H27+$B$13*G27</f>
        <v>25.8678220294536</v>
      </c>
      <c r="I28" s="48" t="n">
        <f aca="false">F28+G28+H28</f>
        <v>10000</v>
      </c>
    </row>
    <row r="29" customFormat="false" ht="15" hidden="false" customHeight="false" outlineLevel="0" collapsed="false">
      <c r="A29" s="52"/>
      <c r="B29" s="52"/>
      <c r="E29" s="47" t="n">
        <v>11</v>
      </c>
      <c r="F29" s="48" t="n">
        <f aca="false">F28-$B$12*F28*G28/$B$10</f>
        <v>9894.47868744801</v>
      </c>
      <c r="G29" s="48" t="n">
        <f aca="false">G28+$B$12*F28*G28/$B$10-$B$13*G28</f>
        <v>73.5139352906546</v>
      </c>
      <c r="H29" s="48" t="n">
        <f aca="false">H28+$B$13*G28</f>
        <v>32.0073772613382</v>
      </c>
      <c r="I29" s="48" t="n">
        <f aca="false">F29+G29+H29</f>
        <v>10000</v>
      </c>
    </row>
    <row r="30" customFormat="false" ht="15" hidden="false" customHeight="false" outlineLevel="0" collapsed="false">
      <c r="A30" s="52"/>
      <c r="B30" s="52"/>
      <c r="E30" s="47" t="n">
        <v>12</v>
      </c>
      <c r="F30" s="48" t="n">
        <f aca="false">F29-$B$12*F29*G29/$B$10</f>
        <v>9872.65722546909</v>
      </c>
      <c r="G30" s="48" t="n">
        <f aca="false">G29+$B$12*F29*G29/$B$10-$B$13*G29</f>
        <v>87.9840037405035</v>
      </c>
      <c r="H30" s="48" t="n">
        <f aca="false">H29+$B$13*G29</f>
        <v>39.3587707904036</v>
      </c>
      <c r="I30" s="48" t="n">
        <f aca="false">F30+G30+H30</f>
        <v>10000</v>
      </c>
    </row>
    <row r="31" customFormat="false" ht="15" hidden="false" customHeight="false" outlineLevel="0" collapsed="false">
      <c r="E31" s="47" t="n">
        <v>13</v>
      </c>
      <c r="F31" s="48" t="n">
        <f aca="false">F30-$B$12*F30*G30/$B$10</f>
        <v>9846.59814816146</v>
      </c>
      <c r="G31" s="48" t="n">
        <f aca="false">G30+$B$12*F30*G30/$B$10-$B$13*G30</f>
        <v>105.244680674085</v>
      </c>
      <c r="H31" s="48" t="n">
        <f aca="false">H30+$B$13*G30</f>
        <v>48.157171164454</v>
      </c>
      <c r="I31" s="48" t="n">
        <f aca="false">F31+G31+H31</f>
        <v>10000</v>
      </c>
    </row>
    <row r="32" customFormat="false" ht="15" hidden="false" customHeight="false" outlineLevel="0" collapsed="false">
      <c r="E32" s="47" t="n">
        <v>14</v>
      </c>
      <c r="F32" s="48" t="n">
        <f aca="false">F31-$B$12*F31*G31/$B$10</f>
        <v>9815.50908582658</v>
      </c>
      <c r="G32" s="48" t="n">
        <f aca="false">G31+$B$12*F31*G31/$B$10-$B$13*G31</f>
        <v>125.809274941555</v>
      </c>
      <c r="H32" s="48" t="n">
        <f aca="false">H31+$B$13*G31</f>
        <v>58.6816392318624</v>
      </c>
      <c r="I32" s="48" t="n">
        <f aca="false">F32+G32+H32</f>
        <v>10000</v>
      </c>
    </row>
    <row r="33" customFormat="false" ht="15" hidden="false" customHeight="false" outlineLevel="0" collapsed="false">
      <c r="E33" s="47" t="n">
        <v>15</v>
      </c>
      <c r="F33" s="48" t="n">
        <f aca="false">F32-$B$12*F32*G32/$B$10</f>
        <v>9778.46262338848</v>
      </c>
      <c r="G33" s="48" t="n">
        <f aca="false">G32+$B$12*F32*G32/$B$10-$B$13*G32</f>
        <v>150.274809885502</v>
      </c>
      <c r="H33" s="48" t="n">
        <f aca="false">H32+$B$13*G32</f>
        <v>71.2625667260179</v>
      </c>
      <c r="I33" s="48" t="n">
        <f aca="false">F33+G33+H33</f>
        <v>10000</v>
      </c>
    </row>
    <row r="34" customFormat="false" ht="15" hidden="false" customHeight="false" outlineLevel="0" collapsed="false">
      <c r="E34" s="47" t="n">
        <v>16</v>
      </c>
      <c r="F34" s="48" t="n">
        <f aca="false">F33-$B$12*F33*G33/$B$10</f>
        <v>9734.37892503742</v>
      </c>
      <c r="G34" s="48" t="n">
        <f aca="false">G33+$B$12*F33*G33/$B$10-$B$13*G33</f>
        <v>179.331027248017</v>
      </c>
      <c r="H34" s="48" t="n">
        <f aca="false">H33+$B$13*G33</f>
        <v>86.2900477145681</v>
      </c>
      <c r="I34" s="48" t="n">
        <f aca="false">F34+G34+H34</f>
        <v>10000</v>
      </c>
    </row>
    <row r="35" customFormat="false" ht="15" hidden="false" customHeight="false" outlineLevel="0" collapsed="false">
      <c r="E35" s="47" t="n">
        <v>17</v>
      </c>
      <c r="F35" s="48" t="n">
        <f aca="false">F34-$B$12*F34*G34/$B$10</f>
        <v>9682.00863986996</v>
      </c>
      <c r="G35" s="48" t="n">
        <f aca="false">G34+$B$12*F34*G34/$B$10-$B$13*G34</f>
        <v>213.768209690668</v>
      </c>
      <c r="H35" s="48" t="n">
        <f aca="false">H34+$B$13*G34</f>
        <v>104.22315043937</v>
      </c>
      <c r="I35" s="48" t="n">
        <f aca="false">F35+G35+H35</f>
        <v>10000</v>
      </c>
    </row>
    <row r="36" customFormat="false" ht="15" hidden="false" customHeight="false" outlineLevel="0" collapsed="false">
      <c r="E36" s="47" t="n">
        <v>18</v>
      </c>
      <c r="F36" s="48" t="n">
        <f aca="false">F35-$B$12*F35*G35/$B$10</f>
        <v>9619.91747027533</v>
      </c>
      <c r="G36" s="48" t="n">
        <f aca="false">G35+$B$12*F35*G35/$B$10-$B$13*G35</f>
        <v>254.482558316238</v>
      </c>
      <c r="H36" s="48" t="n">
        <f aca="false">H35+$B$13*G35</f>
        <v>125.599971408437</v>
      </c>
      <c r="I36" s="48" t="n">
        <f aca="false">F36+G36+H36</f>
        <v>10000</v>
      </c>
    </row>
    <row r="37" customFormat="false" ht="15" hidden="false" customHeight="false" outlineLevel="0" collapsed="false">
      <c r="E37" s="47" t="n">
        <v>19</v>
      </c>
      <c r="F37" s="48" t="n">
        <f aca="false">F36-$B$12*F36*G36/$B$10</f>
        <v>9546.47443401652</v>
      </c>
      <c r="G37" s="48" t="n">
        <f aca="false">G36+$B$12*F36*G36/$B$10-$B$13*G36</f>
        <v>302.477338743417</v>
      </c>
      <c r="H37" s="48" t="n">
        <f aca="false">H36+$B$13*G36</f>
        <v>151.04822724006</v>
      </c>
      <c r="I37" s="48" t="n">
        <f aca="false">F37+G37+H37</f>
        <v>10000</v>
      </c>
    </row>
    <row r="38" customFormat="false" ht="15" hidden="false" customHeight="false" outlineLevel="0" collapsed="false">
      <c r="E38" s="47" t="n">
        <v>20</v>
      </c>
      <c r="F38" s="48" t="n">
        <f aca="false">F37-$B$12*F37*G37/$B$10</f>
        <v>9459.84666858102</v>
      </c>
      <c r="G38" s="48" t="n">
        <f aca="false">G37+$B$12*F37*G37/$B$10-$B$13*G37</f>
        <v>358.857370304577</v>
      </c>
      <c r="H38" s="48" t="n">
        <f aca="false">H37+$B$13*G37</f>
        <v>181.295961114402</v>
      </c>
      <c r="I38" s="48" t="n">
        <f aca="false">F38+G38+H38</f>
        <v>10000</v>
      </c>
    </row>
    <row r="39" customFormat="false" ht="15" hidden="false" customHeight="false" outlineLevel="0" collapsed="false">
      <c r="E39" s="47" t="n">
        <v>21</v>
      </c>
      <c r="F39" s="48" t="n">
        <f aca="false">F38-$B$12*F38*G38/$B$10</f>
        <v>9358.00459761188</v>
      </c>
      <c r="G39" s="48" t="n">
        <f aca="false">G38+$B$12*F38*G38/$B$10-$B$13*G38</f>
        <v>424.813704243264</v>
      </c>
      <c r="H39" s="48" t="n">
        <f aca="false">H38+$B$13*G38</f>
        <v>217.18169814486</v>
      </c>
      <c r="I39" s="48" t="n">
        <f aca="false">F39+G39+H39</f>
        <v>10000</v>
      </c>
    </row>
    <row r="40" customFormat="false" ht="15" hidden="false" customHeight="false" outlineLevel="0" collapsed="false">
      <c r="E40" s="47" t="n">
        <v>22</v>
      </c>
      <c r="F40" s="48" t="n">
        <f aca="false">F39-$B$12*F39*G39/$B$10</f>
        <v>9238.74233968877</v>
      </c>
      <c r="G40" s="48" t="n">
        <f aca="false">G39+$B$12*F39*G39/$B$10-$B$13*G39</f>
        <v>501.594591742047</v>
      </c>
      <c r="H40" s="48" t="n">
        <f aca="false">H39+$B$13*G39</f>
        <v>259.663068569186</v>
      </c>
      <c r="I40" s="48" t="n">
        <f aca="false">F40+G40+H40</f>
        <v>10000</v>
      </c>
    </row>
    <row r="41" customFormat="false" ht="15" hidden="false" customHeight="false" outlineLevel="0" collapsed="false">
      <c r="E41" s="47" t="n">
        <v>23</v>
      </c>
      <c r="F41" s="48" t="n">
        <f aca="false">F40-$B$12*F40*G40/$B$10</f>
        <v>9099.71924392618</v>
      </c>
      <c r="G41" s="48" t="n">
        <f aca="false">G40+$B$12*F40*G40/$B$10-$B$13*G40</f>
        <v>590.458228330427</v>
      </c>
      <c r="H41" s="48" t="n">
        <f aca="false">H40+$B$13*G40</f>
        <v>309.822527743391</v>
      </c>
      <c r="I41" s="48" t="n">
        <f aca="false">F41+G41+H41</f>
        <v>10000</v>
      </c>
    </row>
    <row r="42" customFormat="false" ht="15" hidden="false" customHeight="false" outlineLevel="0" collapsed="false">
      <c r="E42" s="47" t="n">
        <v>24</v>
      </c>
      <c r="F42" s="48" t="n">
        <f aca="false">F41-$B$12*F41*G41/$B$10</f>
        <v>8938.52912083399</v>
      </c>
      <c r="G42" s="48" t="n">
        <f aca="false">G41+$B$12*F41*G41/$B$10-$B$13*G41</f>
        <v>692.602528589573</v>
      </c>
      <c r="H42" s="48" t="n">
        <f aca="false">H41+$B$13*G41</f>
        <v>368.868350576434</v>
      </c>
      <c r="I42" s="48" t="n">
        <f aca="false">F42+G42+H42</f>
        <v>10000</v>
      </c>
    </row>
    <row r="43" customFormat="false" ht="15" hidden="false" customHeight="false" outlineLevel="0" collapsed="false">
      <c r="E43" s="47" t="n">
        <v>25</v>
      </c>
      <c r="F43" s="48" t="n">
        <f aca="false">F42-$B$12*F42*G42/$B$10</f>
        <v>8752.80368470516</v>
      </c>
      <c r="G43" s="48" t="n">
        <f aca="false">G42+$B$12*F42*G42/$B$10-$B$13*G42</f>
        <v>809.06771185945</v>
      </c>
      <c r="H43" s="48" t="n">
        <f aca="false">H42+$B$13*G42</f>
        <v>438.128603435391</v>
      </c>
      <c r="I43" s="48" t="n">
        <f aca="false">F43+G43+H43</f>
        <v>10000</v>
      </c>
    </row>
    <row r="44" customFormat="false" ht="15" hidden="false" customHeight="false" outlineLevel="0" collapsed="false">
      <c r="E44" s="47" t="n">
        <v>26</v>
      </c>
      <c r="F44" s="48" t="n">
        <f aca="false">F43-$B$12*F43*G43/$B$10</f>
        <v>8540.35535921898</v>
      </c>
      <c r="G44" s="48" t="n">
        <f aca="false">G43+$B$12*F43*G43/$B$10-$B$13*G43</f>
        <v>940.609266159686</v>
      </c>
      <c r="H44" s="48" t="n">
        <f aca="false">H43+$B$13*G43</f>
        <v>519.035374621336</v>
      </c>
      <c r="I44" s="48" t="n">
        <f aca="false">F44+G44+H44</f>
        <v>10000</v>
      </c>
    </row>
    <row r="45" customFormat="false" ht="15" hidden="false" customHeight="false" outlineLevel="0" collapsed="false">
      <c r="E45" s="47" t="n">
        <v>27</v>
      </c>
      <c r="F45" s="48" t="n">
        <f aca="false">F44-$B$12*F44*G44/$B$10</f>
        <v>8299.36123760364</v>
      </c>
      <c r="G45" s="48" t="n">
        <f aca="false">G44+$B$12*F44*G44/$B$10-$B$13*G44</f>
        <v>1087.54246115906</v>
      </c>
      <c r="H45" s="48" t="n">
        <f aca="false">H44+$B$13*G44</f>
        <v>613.096301237305</v>
      </c>
      <c r="I45" s="48" t="n">
        <f aca="false">F45+G45+H45</f>
        <v>10000</v>
      </c>
    </row>
    <row r="46" customFormat="false" ht="15" hidden="false" customHeight="false" outlineLevel="0" collapsed="false">
      <c r="E46" s="47" t="n">
        <v>28</v>
      </c>
      <c r="F46" s="48" t="n">
        <f aca="false">F45-$B$12*F45*G45/$B$10</f>
        <v>8028.5840052119</v>
      </c>
      <c r="G46" s="48" t="n">
        <f aca="false">G45+$B$12*F45*G45/$B$10-$B$13*G45</f>
        <v>1249.5654474349</v>
      </c>
      <c r="H46" s="48" t="n">
        <f aca="false">H45+$B$13*G45</f>
        <v>721.85054735321</v>
      </c>
      <c r="I46" s="48" t="n">
        <f aca="false">F46+G46+H46</f>
        <v>10000</v>
      </c>
    </row>
    <row r="47" customFormat="false" ht="15" hidden="false" customHeight="false" outlineLevel="0" collapsed="false">
      <c r="E47" s="47" t="n">
        <v>29</v>
      </c>
      <c r="F47" s="48" t="n">
        <f aca="false">F46-$B$12*F46*G46/$B$10</f>
        <v>7727.61677026966</v>
      </c>
      <c r="G47" s="48" t="n">
        <f aca="false">G46+$B$12*F46*G46/$B$10-$B$13*G46</f>
        <v>1425.57613763364</v>
      </c>
      <c r="H47" s="48" t="n">
        <f aca="false">H46+$B$13*G46</f>
        <v>846.8070920967</v>
      </c>
      <c r="I47" s="48" t="n">
        <f aca="false">F47+G47+H47</f>
        <v>10000</v>
      </c>
    </row>
    <row r="48" customFormat="false" ht="15" hidden="false" customHeight="false" outlineLevel="0" collapsed="false">
      <c r="E48" s="47" t="n">
        <v>30</v>
      </c>
      <c r="F48" s="48" t="n">
        <f aca="false">F47-$B$12*F47*G47/$B$10</f>
        <v>7397.12758821544</v>
      </c>
      <c r="G48" s="48" t="n">
        <f aca="false">G47+$B$12*F47*G47/$B$10-$B$13*G47</f>
        <v>1613.5077059245</v>
      </c>
      <c r="H48" s="48" t="n">
        <f aca="false">H47+$B$13*G47</f>
        <v>989.364705860064</v>
      </c>
      <c r="I48" s="48" t="n">
        <f aca="false">F48+G48+H48</f>
        <v>10000</v>
      </c>
    </row>
    <row r="49" customFormat="false" ht="15" hidden="false" customHeight="false" outlineLevel="0" collapsed="false">
      <c r="E49" s="47" t="n">
        <v>31</v>
      </c>
      <c r="F49" s="48" t="n">
        <f aca="false">F48-$B$12*F48*G48/$B$10</f>
        <v>7039.06791725667</v>
      </c>
      <c r="G49" s="48" t="n">
        <f aca="false">G48+$B$12*F48*G48/$B$10-$B$13*G48</f>
        <v>1810.21660629082</v>
      </c>
      <c r="H49" s="48" t="n">
        <f aca="false">H48+$B$13*G48</f>
        <v>1150.71547645251</v>
      </c>
      <c r="I49" s="48" t="n">
        <f aca="false">F49+G49+H49</f>
        <v>10000</v>
      </c>
    </row>
    <row r="50" customFormat="false" ht="15" hidden="false" customHeight="false" outlineLevel="0" collapsed="false">
      <c r="E50" s="47" t="n">
        <v>32</v>
      </c>
      <c r="F50" s="48" t="n">
        <f aca="false">F49-$B$12*F49*G49/$B$10</f>
        <v>6656.80078815786</v>
      </c>
      <c r="G50" s="48" t="n">
        <f aca="false">G49+$B$12*F49*G49/$B$10-$B$13*G49</f>
        <v>2011.46207476054</v>
      </c>
      <c r="H50" s="48" t="n">
        <f aca="false">H49+$B$13*G49</f>
        <v>1331.7371370816</v>
      </c>
      <c r="I50" s="48" t="n">
        <f aca="false">F50+G50+H50</f>
        <v>10000</v>
      </c>
    </row>
    <row r="51" customFormat="false" ht="15" hidden="false" customHeight="false" outlineLevel="0" collapsed="false">
      <c r="E51" s="47" t="n">
        <v>33</v>
      </c>
      <c r="F51" s="48" t="n">
        <f aca="false">F50-$B$12*F50*G50/$B$10</f>
        <v>6255.10371841939</v>
      </c>
      <c r="G51" s="48" t="n">
        <f aca="false">G50+$B$12*F50*G50/$B$10-$B$13*G50</f>
        <v>2212.01293702296</v>
      </c>
      <c r="H51" s="48" t="n">
        <f aca="false">H50+$B$13*G50</f>
        <v>1532.88334455765</v>
      </c>
      <c r="I51" s="48" t="n">
        <f aca="false">F51+G51+H51</f>
        <v>10000</v>
      </c>
    </row>
    <row r="52" customFormat="false" ht="15" hidden="false" customHeight="false" outlineLevel="0" collapsed="false">
      <c r="E52" s="47" t="n">
        <v>34</v>
      </c>
      <c r="F52" s="48" t="n">
        <f aca="false">F51-$B$12*F51*G51/$B$10</f>
        <v>5840.01260799247</v>
      </c>
      <c r="G52" s="48" t="n">
        <f aca="false">G51+$B$12*F51*G51/$B$10-$B$13*G51</f>
        <v>2405.90275374759</v>
      </c>
      <c r="H52" s="48" t="n">
        <f aca="false">H51+$B$13*G51</f>
        <v>1754.08463825995</v>
      </c>
      <c r="I52" s="48" t="n">
        <f aca="false">F52+G52+H52</f>
        <v>10000</v>
      </c>
    </row>
    <row r="53" customFormat="false" ht="15" hidden="false" customHeight="false" outlineLevel="0" collapsed="false">
      <c r="E53" s="47" t="n">
        <v>35</v>
      </c>
      <c r="F53" s="48" t="n">
        <f aca="false">F52-$B$12*F52*G52/$B$10</f>
        <v>5418.49753552778</v>
      </c>
      <c r="G53" s="48" t="n">
        <f aca="false">G52+$B$12*F52*G52/$B$10-$B$13*G52</f>
        <v>2586.82755083752</v>
      </c>
      <c r="H53" s="48" t="n">
        <f aca="false">H52+$B$13*G52</f>
        <v>1994.6749136347</v>
      </c>
      <c r="I53" s="48" t="n">
        <f aca="false">F53+G53+H53</f>
        <v>10000</v>
      </c>
    </row>
    <row r="54" customFormat="false" ht="15" hidden="false" customHeight="false" outlineLevel="0" collapsed="false">
      <c r="E54" s="47" t="n">
        <v>36</v>
      </c>
      <c r="F54" s="48" t="n">
        <f aca="false">F53-$B$12*F53*G53/$B$10</f>
        <v>4997.99597425632</v>
      </c>
      <c r="G54" s="48" t="n">
        <f aca="false">G53+$B$12*F53*G53/$B$10-$B$13*G53</f>
        <v>2748.64635702522</v>
      </c>
      <c r="H54" s="48" t="n">
        <f aca="false">H53+$B$13*G53</f>
        <v>2253.35766871846</v>
      </c>
      <c r="I54" s="48" t="n">
        <f aca="false">F54+G54+H54</f>
        <v>10000</v>
      </c>
    </row>
    <row r="55" customFormat="false" ht="15" hidden="false" customHeight="false" outlineLevel="0" collapsed="false">
      <c r="E55" s="47" t="n">
        <v>37</v>
      </c>
      <c r="F55" s="48" t="n">
        <f aca="false">F54-$B$12*F54*G54/$B$10</f>
        <v>4585.86427144433</v>
      </c>
      <c r="G55" s="48" t="n">
        <f aca="false">G54+$B$12*F54*G54/$B$10-$B$13*G54</f>
        <v>2885.91342413469</v>
      </c>
      <c r="H55" s="48" t="n">
        <f aca="false">H54+$B$13*G54</f>
        <v>2528.22230442098</v>
      </c>
      <c r="I55" s="48" t="n">
        <f aca="false">F55+G55+H55</f>
        <v>10000</v>
      </c>
    </row>
    <row r="56" customFormat="false" ht="15" hidden="false" customHeight="false" outlineLevel="0" collapsed="false">
      <c r="E56" s="47" t="n">
        <v>38</v>
      </c>
      <c r="F56" s="48" t="n">
        <f aca="false">F55-$B$12*F55*G55/$B$10</f>
        <v>4188.83205357771</v>
      </c>
      <c r="G56" s="48" t="n">
        <f aca="false">G55+$B$12*F55*G55/$B$10-$B$13*G55</f>
        <v>2994.35429958784</v>
      </c>
      <c r="H56" s="48" t="n">
        <f aca="false">H55+$B$13*G55</f>
        <v>2816.81364683445</v>
      </c>
      <c r="I56" s="48" t="n">
        <f aca="false">F56+G56+H56</f>
        <v>10000</v>
      </c>
    </row>
    <row r="57" customFormat="false" ht="15" hidden="false" customHeight="false" outlineLevel="0" collapsed="false">
      <c r="E57" s="47" t="n">
        <v>39</v>
      </c>
      <c r="F57" s="48" t="n">
        <f aca="false">F56-$B$12*F56*G56/$B$10</f>
        <v>3812.54663548125</v>
      </c>
      <c r="G57" s="48" t="n">
        <f aca="false">G56+$B$12*F56*G56/$B$10-$B$13*G56</f>
        <v>3071.20428772551</v>
      </c>
      <c r="H57" s="48" t="n">
        <f aca="false">H56+$B$13*G56</f>
        <v>3116.24907679323</v>
      </c>
      <c r="I57" s="48" t="n">
        <f aca="false">F57+G57+H57</f>
        <v>10000</v>
      </c>
    </row>
    <row r="58" customFormat="false" ht="15" hidden="false" customHeight="false" outlineLevel="0" collapsed="false">
      <c r="E58" s="47" t="n">
        <v>40</v>
      </c>
      <c r="F58" s="48" t="n">
        <f aca="false">F57-$B$12*F57*G57/$B$10</f>
        <v>3461.27334825995</v>
      </c>
      <c r="G58" s="48" t="n">
        <f aca="false">G57+$B$12*F57*G57/$B$10-$B$13*G57</f>
        <v>3115.35714617427</v>
      </c>
      <c r="H58" s="48" t="n">
        <f aca="false">H57+$B$13*G57</f>
        <v>3423.36950556578</v>
      </c>
      <c r="I58" s="48" t="n">
        <f aca="false">F58+G58+H58</f>
        <v>10000</v>
      </c>
    </row>
    <row r="59" customFormat="false" ht="15" hidden="false" customHeight="false" outlineLevel="0" collapsed="false">
      <c r="E59" s="47" t="n">
        <v>41</v>
      </c>
      <c r="F59" s="48" t="n">
        <f aca="false">F58-$B$12*F58*G58/$B$10</f>
        <v>3137.78026844902</v>
      </c>
      <c r="G59" s="48" t="n">
        <f aca="false">G58+$B$12*F58*G58/$B$10-$B$13*G58</f>
        <v>3127.31451136777</v>
      </c>
      <c r="H59" s="48" t="n">
        <f aca="false">H58+$B$13*G58</f>
        <v>3734.90522018321</v>
      </c>
      <c r="I59" s="48" t="n">
        <f aca="false">F59+G59+H59</f>
        <v>10000</v>
      </c>
    </row>
    <row r="60" customFormat="false" ht="15" hidden="false" customHeight="false" outlineLevel="0" collapsed="false">
      <c r="E60" s="47" t="n">
        <v>42</v>
      </c>
      <c r="F60" s="48" t="n">
        <f aca="false">F59-$B$12*F59*G59/$B$10</f>
        <v>2843.3954954389</v>
      </c>
      <c r="G60" s="48" t="n">
        <f aca="false">G59+$B$12*F59*G59/$B$10-$B$13*G59</f>
        <v>3108.96783324111</v>
      </c>
      <c r="H60" s="48" t="n">
        <f aca="false">H59+$B$13*G59</f>
        <v>4047.63667131999</v>
      </c>
      <c r="I60" s="48" t="n">
        <f aca="false">F60+G60+H60</f>
        <v>10000</v>
      </c>
    </row>
    <row r="61" customFormat="false" ht="15" hidden="false" customHeight="false" outlineLevel="0" collapsed="false">
      <c r="E61" s="47" t="n">
        <v>43</v>
      </c>
      <c r="F61" s="48" t="n">
        <f aca="false">F60-$B$12*F60*G60/$B$10</f>
        <v>2578.19474146384</v>
      </c>
      <c r="G61" s="48" t="n">
        <f aca="false">G60+$B$12*F60*G60/$B$10-$B$13*G60</f>
        <v>3063.27180389207</v>
      </c>
      <c r="H61" s="48" t="n">
        <f aca="false">H60+$B$13*G60</f>
        <v>4358.5334546441</v>
      </c>
      <c r="I61" s="48" t="n">
        <f aca="false">F61+G61+H61</f>
        <v>10000</v>
      </c>
    </row>
    <row r="62" customFormat="false" ht="15" hidden="false" customHeight="false" outlineLevel="0" collapsed="false">
      <c r="E62" s="47" t="n">
        <v>44</v>
      </c>
      <c r="F62" s="48" t="n">
        <f aca="false">F61-$B$12*F61*G61/$B$10</f>
        <v>2341.26340376977</v>
      </c>
      <c r="G62" s="48" t="n">
        <f aca="false">G61+$B$12*F61*G61/$B$10-$B$13*G61</f>
        <v>2993.87596119693</v>
      </c>
      <c r="H62" s="48" t="n">
        <f aca="false">H61+$B$13*G61</f>
        <v>4664.8606350333</v>
      </c>
      <c r="I62" s="48" t="n">
        <f aca="false">F62+G62+H62</f>
        <v>10000</v>
      </c>
    </row>
    <row r="63" customFormat="false" ht="15" hidden="false" customHeight="false" outlineLevel="0" collapsed="false">
      <c r="E63" s="47" t="n">
        <v>45</v>
      </c>
      <c r="F63" s="48" t="n">
        <f aca="false">F62-$B$12*F62*G62/$B$10</f>
        <v>2130.97983706847</v>
      </c>
      <c r="G63" s="48" t="n">
        <f aca="false">G62+$B$12*F62*G62/$B$10-$B$13*G62</f>
        <v>2904.77193177853</v>
      </c>
      <c r="H63" s="48" t="n">
        <f aca="false">H62+$B$13*G62</f>
        <v>4964.248231153</v>
      </c>
      <c r="I63" s="48" t="n">
        <f aca="false">F63+G63+H63</f>
        <v>10000</v>
      </c>
    </row>
    <row r="64" customFormat="false" ht="15" hidden="false" customHeight="false" outlineLevel="0" collapsed="false">
      <c r="E64" s="47" t="n">
        <v>46</v>
      </c>
      <c r="F64" s="48" t="n">
        <f aca="false">F63-$B$12*F63*G63/$B$10</f>
        <v>1945.2795245314</v>
      </c>
      <c r="G64" s="48" t="n">
        <f aca="false">G63+$B$12*F63*G63/$B$10-$B$13*G63</f>
        <v>2799.99505113775</v>
      </c>
      <c r="H64" s="48" t="n">
        <f aca="false">H63+$B$13*G63</f>
        <v>5254.72542433085</v>
      </c>
      <c r="I64" s="48" t="n">
        <f aca="false">F64+G64+H64</f>
        <v>10000</v>
      </c>
    </row>
    <row r="65" customFormat="false" ht="15" hidden="false" customHeight="false" outlineLevel="0" collapsed="false">
      <c r="E65" s="47" t="n">
        <v>47</v>
      </c>
      <c r="F65" s="48" t="n">
        <f aca="false">F64-$B$12*F64*G64/$B$10</f>
        <v>1781.87633327837</v>
      </c>
      <c r="G65" s="48" t="n">
        <f aca="false">G64+$B$12*F64*G64/$B$10-$B$13*G64</f>
        <v>2683.398737277</v>
      </c>
      <c r="H65" s="48" t="n">
        <f aca="false">H64+$B$13*G64</f>
        <v>5534.72492944463</v>
      </c>
      <c r="I65" s="48" t="n">
        <f aca="false">F65+G65+H65</f>
        <v>10000</v>
      </c>
    </row>
    <row r="66" customFormat="false" ht="15" hidden="false" customHeight="false" outlineLevel="0" collapsed="false">
      <c r="E66" s="47" t="n">
        <v>48</v>
      </c>
      <c r="F66" s="48" t="n">
        <f aca="false">F65-$B$12*F65*G65/$B$10</f>
        <v>1638.43179219729</v>
      </c>
      <c r="G66" s="48" t="n">
        <f aca="false">G65+$B$12*F65*G65/$B$10-$B$13*G65</f>
        <v>2558.50340463039</v>
      </c>
      <c r="H66" s="48" t="n">
        <f aca="false">H65+$B$13*G65</f>
        <v>5803.06480317233</v>
      </c>
      <c r="I66" s="48" t="n">
        <f aca="false">F66+G66+H66</f>
        <v>10000</v>
      </c>
    </row>
    <row r="67" customFormat="false" ht="15" hidden="false" customHeight="false" outlineLevel="0" collapsed="false">
      <c r="E67" s="47" t="n">
        <v>49</v>
      </c>
      <c r="F67" s="48" t="n">
        <f aca="false">F66-$B$12*F66*G66/$B$10</f>
        <v>1512.67379263954</v>
      </c>
      <c r="G67" s="48" t="n">
        <f aca="false">G66+$B$12*F66*G66/$B$10-$B$13*G66</f>
        <v>2428.41106372509</v>
      </c>
      <c r="H67" s="48" t="n">
        <f aca="false">H66+$B$13*G66</f>
        <v>6058.91514363536</v>
      </c>
      <c r="I67" s="48" t="n">
        <f aca="false">F67+G67+H67</f>
        <v>10000</v>
      </c>
    </row>
    <row r="68" customFormat="false" ht="15" hidden="false" customHeight="false" outlineLevel="0" collapsed="false">
      <c r="E68" s="47" t="n">
        <v>50</v>
      </c>
      <c r="F68" s="48" t="n">
        <f aca="false">F67-$B$12*F67*G67/$B$10</f>
        <v>1402.47197942396</v>
      </c>
      <c r="G68" s="48" t="n">
        <f aca="false">G67+$B$12*F67*G67/$B$10-$B$13*G67</f>
        <v>2295.77177056817</v>
      </c>
      <c r="H68" s="48" t="n">
        <f aca="false">H67+$B$13*G67</f>
        <v>6301.75625000787</v>
      </c>
      <c r="I68" s="48" t="n">
        <f aca="false">F68+G68+H68</f>
        <v>10000</v>
      </c>
    </row>
    <row r="69" customFormat="false" ht="15" hidden="false" customHeight="false" outlineLevel="0" collapsed="false">
      <c r="E69" s="47" t="n">
        <v>51</v>
      </c>
      <c r="F69" s="48" t="n">
        <f aca="false">F68-$B$12*F68*G68/$B$10</f>
        <v>1305.87931204273</v>
      </c>
      <c r="G69" s="48" t="n">
        <f aca="false">G68+$B$12*F68*G68/$B$10-$B$13*G68</f>
        <v>2162.78726089258</v>
      </c>
      <c r="H69" s="48" t="n">
        <f aca="false">H68+$B$13*G68</f>
        <v>6531.33342706469</v>
      </c>
      <c r="I69" s="48" t="n">
        <f aca="false">F69+G69+H69</f>
        <v>10000</v>
      </c>
    </row>
    <row r="70" customFormat="false" ht="15" hidden="false" customHeight="false" outlineLevel="0" collapsed="false">
      <c r="E70" s="47" t="n">
        <v>52</v>
      </c>
      <c r="F70" s="48" t="n">
        <f aca="false">F69-$B$12*F69*G69/$B$10</f>
        <v>1221.14913783225</v>
      </c>
      <c r="G70" s="48" t="n">
        <f aca="false">G69+$B$12*F69*G69/$B$10-$B$13*G69</f>
        <v>2031.2387090138</v>
      </c>
      <c r="H70" s="48" t="n">
        <f aca="false">H69+$B$13*G69</f>
        <v>6747.61215315395</v>
      </c>
      <c r="I70" s="48" t="n">
        <f aca="false">F70+G70+H70</f>
        <v>10000</v>
      </c>
    </row>
    <row r="71" customFormat="false" ht="15" hidden="false" customHeight="false" outlineLevel="0" collapsed="false">
      <c r="E71" s="47" t="n">
        <v>53</v>
      </c>
      <c r="F71" s="48" t="n">
        <f aca="false">F70-$B$12*F70*G70/$B$10</f>
        <v>1146.73577588494</v>
      </c>
      <c r="G71" s="48" t="n">
        <f aca="false">G70+$B$12*F70*G70/$B$10-$B$13*G70</f>
        <v>1902.52820005973</v>
      </c>
      <c r="H71" s="48" t="n">
        <f aca="false">H70+$B$13*G70</f>
        <v>6950.73602405533</v>
      </c>
      <c r="I71" s="48" t="n">
        <f aca="false">F71+G71+H71</f>
        <v>10000</v>
      </c>
    </row>
    <row r="72" customFormat="false" ht="15" hidden="false" customHeight="false" outlineLevel="0" collapsed="false">
      <c r="E72" s="47" t="n">
        <v>54</v>
      </c>
      <c r="F72" s="48" t="n">
        <f aca="false">F71-$B$12*F71*G71/$B$10</f>
        <v>1081.28486133578</v>
      </c>
      <c r="G72" s="48" t="n">
        <f aca="false">G71+$B$12*F71*G71/$B$10-$B$13*G71</f>
        <v>1777.72629460291</v>
      </c>
      <c r="H72" s="48" t="n">
        <f aca="false">H71+$B$13*G71</f>
        <v>7140.9888440613</v>
      </c>
      <c r="I72" s="48" t="n">
        <f aca="false">F72+G72+H72</f>
        <v>10000</v>
      </c>
    </row>
    <row r="73" customFormat="false" ht="15" hidden="false" customHeight="false" outlineLevel="0" collapsed="false">
      <c r="E73" s="47" t="n">
        <v>55</v>
      </c>
      <c r="F73" s="48" t="n">
        <f aca="false">F72-$B$12*F72*G72/$B$10</f>
        <v>1023.6180054372</v>
      </c>
      <c r="G73" s="48" t="n">
        <f aca="false">G72+$B$12*F72*G72/$B$10-$B$13*G72</f>
        <v>1657.6205210412</v>
      </c>
      <c r="H73" s="48" t="n">
        <f aca="false">H72+$B$13*G72</f>
        <v>7318.76147352159</v>
      </c>
      <c r="I73" s="48" t="n">
        <f aca="false">F73+G73+H73</f>
        <v>10000</v>
      </c>
    </row>
    <row r="74" customFormat="false" ht="15" hidden="false" customHeight="false" outlineLevel="0" collapsed="false">
      <c r="E74" s="47" t="n">
        <v>56</v>
      </c>
      <c r="F74" s="48" t="n">
        <f aca="false">F73-$B$12*F73*G73/$B$10</f>
        <v>972.714899091605</v>
      </c>
      <c r="G74" s="48" t="n">
        <f aca="false">G73+$B$12*F73*G73/$B$10-$B$13*G73</f>
        <v>1542.76157528268</v>
      </c>
      <c r="H74" s="48" t="n">
        <f aca="false">H73+$B$13*G73</f>
        <v>7484.52352562571</v>
      </c>
      <c r="I74" s="48" t="n">
        <f aca="false">F74+G74+H74</f>
        <v>10000</v>
      </c>
    </row>
    <row r="75" customFormat="false" ht="15" hidden="false" customHeight="false" outlineLevel="0" collapsed="false">
      <c r="E75" s="47" t="n">
        <v>57</v>
      </c>
      <c r="F75" s="48" t="n">
        <f aca="false">F74-$B$12*F74*G74/$B$10</f>
        <v>927.6948839909</v>
      </c>
      <c r="G75" s="48" t="n">
        <f aca="false">G74+$B$12*F74*G74/$B$10-$B$13*G74</f>
        <v>1433.50543285512</v>
      </c>
      <c r="H75" s="48" t="n">
        <f aca="false">H74+$B$13*G74</f>
        <v>7638.79968315398</v>
      </c>
      <c r="I75" s="48" t="n">
        <f aca="false">F75+G75+H75</f>
        <v>10000</v>
      </c>
    </row>
    <row r="76" customFormat="false" ht="15" hidden="false" customHeight="false" outlineLevel="0" collapsed="false">
      <c r="E76" s="47" t="n">
        <v>58</v>
      </c>
      <c r="F76" s="48" t="n">
        <f aca="false">F75-$B$12*F75*G75/$B$10</f>
        <v>887.799214303914</v>
      </c>
      <c r="G76" s="48" t="n">
        <f aca="false">G75+$B$12*F75*G75/$B$10-$B$13*G75</f>
        <v>1330.05055925659</v>
      </c>
      <c r="H76" s="48" t="n">
        <f aca="false">H75+$B$13*G75</f>
        <v>7782.15022643949</v>
      </c>
      <c r="I76" s="48" t="n">
        <f aca="false">F76+G76+H76</f>
        <v>10000</v>
      </c>
    </row>
    <row r="77" customFormat="false" ht="15" hidden="false" customHeight="false" outlineLevel="0" collapsed="false">
      <c r="E77" s="47" t="n">
        <v>59</v>
      </c>
      <c r="F77" s="48" t="n">
        <f aca="false">F76-$B$12*F76*G76/$B$10</f>
        <v>852.37467905914</v>
      </c>
      <c r="G77" s="48" t="n">
        <f aca="false">G76+$B$12*F76*G76/$B$10-$B$13*G76</f>
        <v>1232.47003857571</v>
      </c>
      <c r="H77" s="48" t="n">
        <f aca="false">H76+$B$13*G76</f>
        <v>7915.15528236515</v>
      </c>
      <c r="I77" s="48" t="n">
        <f aca="false">F77+G77+H77</f>
        <v>10000</v>
      </c>
    </row>
    <row r="78" customFormat="false" ht="15" hidden="false" customHeight="false" outlineLevel="0" collapsed="false">
      <c r="E78" s="47" t="n">
        <v>60</v>
      </c>
      <c r="F78" s="48" t="n">
        <f aca="false">F77-$B$12*F77*G77/$B$10</f>
        <v>820.85889145171</v>
      </c>
      <c r="G78" s="48" t="n">
        <f aca="false">G77+$B$12*F77*G77/$B$10-$B$13*G77</f>
        <v>1140.73882232557</v>
      </c>
      <c r="H78" s="48" t="n">
        <f aca="false">H77+$B$13*G77</f>
        <v>8038.40228622272</v>
      </c>
      <c r="I78" s="48" t="n">
        <f aca="false">F78+G78+H78</f>
        <v>10000</v>
      </c>
    </row>
    <row r="79" customFormat="false" ht="15" hidden="false" customHeight="false" outlineLevel="0" collapsed="false">
      <c r="E79" s="47" t="n">
        <v>61</v>
      </c>
      <c r="F79" s="48" t="n">
        <f aca="false">F78-$B$12*F78*G78/$B$10</f>
        <v>792.767323297808</v>
      </c>
      <c r="G79" s="48" t="n">
        <f aca="false">G78+$B$12*F78*G78/$B$10-$B$13*G78</f>
        <v>1054.75650824691</v>
      </c>
      <c r="H79" s="48" t="n">
        <f aca="false">H78+$B$13*G78</f>
        <v>8152.47616845528</v>
      </c>
      <c r="I79" s="48" t="n">
        <f aca="false">F79+G79+H79</f>
        <v>10000</v>
      </c>
    </row>
    <row r="80" customFormat="false" ht="15" hidden="false" customHeight="false" outlineLevel="0" collapsed="false">
      <c r="E80" s="47" t="n">
        <v>62</v>
      </c>
      <c r="F80" s="48" t="n">
        <f aca="false">F79-$B$12*F79*G79/$B$10</f>
        <v>767.682028484592</v>
      </c>
      <c r="G80" s="48" t="n">
        <f aca="false">G79+$B$12*F79*G79/$B$10-$B$13*G79</f>
        <v>974.366152235436</v>
      </c>
      <c r="H80" s="48" t="n">
        <f aca="false">H79+$B$13*G79</f>
        <v>8257.95181927997</v>
      </c>
      <c r="I80" s="48" t="n">
        <f aca="false">F80+G80+H80</f>
        <v>10000</v>
      </c>
    </row>
    <row r="81" customFormat="false" ht="15" hidden="false" customHeight="false" outlineLevel="0" collapsed="false">
      <c r="E81" s="47" t="n">
        <v>63</v>
      </c>
      <c r="F81" s="48" t="n">
        <f aca="false">F80-$B$12*F80*G80/$B$10</f>
        <v>745.241926957547</v>
      </c>
      <c r="G81" s="48" t="n">
        <f aca="false">G80+$B$12*F80*G80/$B$10-$B$13*G80</f>
        <v>899.369638538937</v>
      </c>
      <c r="H81" s="48" t="n">
        <f aca="false">H80+$B$13*G80</f>
        <v>8355.38843450352</v>
      </c>
      <c r="I81" s="48" t="n">
        <f aca="false">F81+G81+H81</f>
        <v>10000</v>
      </c>
    </row>
    <row r="82" customFormat="false" ht="15" hidden="false" customHeight="false" outlineLevel="0" collapsed="false">
      <c r="E82" s="47" t="n">
        <v>64</v>
      </c>
      <c r="F82" s="48" t="n">
        <f aca="false">F81-$B$12*F81*G81/$B$10</f>
        <v>725.134488083391</v>
      </c>
      <c r="G82" s="48" t="n">
        <f aca="false">G81+$B$12*F81*G81/$B$10-$B$13*G81</f>
        <v>829.5401135592</v>
      </c>
      <c r="H82" s="48" t="n">
        <f aca="false">H81+$B$13*G81</f>
        <v>8445.32539835741</v>
      </c>
      <c r="I82" s="48" t="n">
        <f aca="false">F82+G82+H82</f>
        <v>10000</v>
      </c>
    </row>
    <row r="83" customFormat="false" ht="15" hidden="false" customHeight="false" outlineLevel="0" collapsed="false">
      <c r="E83" s="47" t="n">
        <v>65</v>
      </c>
      <c r="F83" s="48" t="n">
        <f aca="false">F82-$B$12*F82*G82/$B$10</f>
        <v>707.08864371568</v>
      </c>
      <c r="G83" s="48" t="n">
        <f aca="false">G82+$B$12*F82*G82/$B$10-$B$13*G82</f>
        <v>764.631946570991</v>
      </c>
      <c r="H83" s="48" t="n">
        <f aca="false">H82+$B$13*G82</f>
        <v>8528.27940971333</v>
      </c>
      <c r="I83" s="48" t="n">
        <f aca="false">F83+G83+H83</f>
        <v>10000</v>
      </c>
    </row>
    <row r="84" customFormat="false" ht="15" hidden="false" customHeight="false" outlineLevel="0" collapsed="false">
      <c r="E84" s="47" t="n">
        <v>66</v>
      </c>
      <c r="F84" s="48" t="n">
        <f aca="false">F83-$B$12*F83*G83/$B$10</f>
        <v>690.868766734403</v>
      </c>
      <c r="G84" s="48" t="n">
        <f aca="false">G83+$B$12*F83*G83/$B$10-$B$13*G83</f>
        <v>704.388628895169</v>
      </c>
      <c r="H84" s="48" t="n">
        <f aca="false">H83+$B$13*G83</f>
        <v>8604.74260437043</v>
      </c>
      <c r="I84" s="48" t="n">
        <f aca="false">F84+G84+H84</f>
        <v>10000</v>
      </c>
    </row>
    <row r="85" customFormat="false" ht="15" hidden="false" customHeight="false" outlineLevel="0" collapsed="false">
      <c r="E85" s="47" t="n">
        <v>67</v>
      </c>
      <c r="F85" s="48" t="n">
        <f aca="false">F84-$B$12*F84*G84/$B$10</f>
        <v>676.269563634006</v>
      </c>
      <c r="G85" s="48" t="n">
        <f aca="false">G84+$B$12*F84*G84/$B$10-$B$13*G84</f>
        <v>648.548969106048</v>
      </c>
      <c r="H85" s="48" t="n">
        <f aca="false">H84+$B$13*G84</f>
        <v>8675.18146725995</v>
      </c>
      <c r="I85" s="48" t="n">
        <f aca="false">F85+G85+H85</f>
        <v>10000</v>
      </c>
    </row>
    <row r="86" customFormat="false" ht="15" hidden="false" customHeight="false" outlineLevel="0" collapsed="false">
      <c r="E86" s="47" t="n">
        <v>68</v>
      </c>
      <c r="F86" s="48" t="n">
        <f aca="false">F85-$B$12*F85*G85/$B$10</f>
        <v>663.111745784027</v>
      </c>
      <c r="G86" s="48" t="n">
        <f aca="false">G85+$B$12*F85*G85/$B$10-$B$13*G85</f>
        <v>596.851890045423</v>
      </c>
      <c r="H86" s="48" t="n">
        <f aca="false">H85+$B$13*G85</f>
        <v>8740.03636417055</v>
      </c>
      <c r="I86" s="48" t="n">
        <f aca="false">F86+G86+H86</f>
        <v>10000</v>
      </c>
    </row>
    <row r="87" customFormat="false" ht="15" hidden="false" customHeight="false" outlineLevel="0" collapsed="false">
      <c r="E87" s="47" t="n">
        <v>69</v>
      </c>
      <c r="F87" s="48" t="n">
        <f aca="false">F86-$B$12*F86*G86/$B$10</f>
        <v>651.238360820552</v>
      </c>
      <c r="G87" s="48" t="n">
        <f aca="false">G86+$B$12*F86*G86/$B$10-$B$13*G86</f>
        <v>549.040086004356</v>
      </c>
      <c r="H87" s="48" t="n">
        <f aca="false">H86+$B$13*G86</f>
        <v>8799.72155317509</v>
      </c>
      <c r="I87" s="48" t="n">
        <f aca="false">F87+G87+H87</f>
        <v>10000</v>
      </c>
    </row>
    <row r="88" customFormat="false" ht="15" hidden="false" customHeight="false" outlineLevel="0" collapsed="false">
      <c r="E88" s="47" t="n">
        <v>70</v>
      </c>
      <c r="F88" s="48" t="n">
        <f aca="false">F87-$B$12*F87*G87/$B$10</f>
        <v>640.511681851525</v>
      </c>
      <c r="G88" s="48" t="n">
        <f aca="false">G87+$B$12*F87*G87/$B$10-$B$13*G87</f>
        <v>504.862756372948</v>
      </c>
      <c r="H88" s="48" t="n">
        <f aca="false">H87+$B$13*G87</f>
        <v>8854.62556177553</v>
      </c>
      <c r="I88" s="48" t="n">
        <f aca="false">F88+G88+H88</f>
        <v>10000</v>
      </c>
    </row>
    <row r="89" customFormat="false" ht="15" hidden="false" customHeight="false" outlineLevel="0" collapsed="false">
      <c r="E89" s="47" t="n">
        <v>71</v>
      </c>
      <c r="F89" s="48" t="n">
        <f aca="false">F88-$B$12*F88*G88/$B$10</f>
        <v>630.810567055866</v>
      </c>
      <c r="G89" s="48" t="n">
        <f aca="false">G88+$B$12*F88*G88/$B$10-$B$13*G88</f>
        <v>464.077595531312</v>
      </c>
      <c r="H89" s="48" t="n">
        <f aca="false">H88+$B$13*G88</f>
        <v>8905.11183741282</v>
      </c>
      <c r="I89" s="48" t="n">
        <f aca="false">F89+G89+H89</f>
        <v>10000</v>
      </c>
    </row>
    <row r="90" customFormat="false" ht="15" hidden="false" customHeight="false" outlineLevel="0" collapsed="false">
      <c r="E90" s="47" t="n">
        <v>72</v>
      </c>
      <c r="F90" s="48" t="n">
        <f aca="false">F89-$B$12*F89*G89/$B$10</f>
        <v>622.028215520015</v>
      </c>
      <c r="G90" s="48" t="n">
        <f aca="false">G89+$B$12*F89*G89/$B$10-$B$13*G89</f>
        <v>426.452187514032</v>
      </c>
      <c r="H90" s="48" t="n">
        <f aca="false">H89+$B$13*G89</f>
        <v>8951.51959696595</v>
      </c>
      <c r="I90" s="48" t="n">
        <f aca="false">F90+G90+H90</f>
        <v>10000</v>
      </c>
    </row>
    <row r="91" customFormat="false" ht="15" hidden="false" customHeight="false" outlineLevel="0" collapsed="false">
      <c r="E91" s="47" t="n">
        <v>73</v>
      </c>
      <c r="F91" s="48" t="n">
        <f aca="false">F90-$B$12*F90*G90/$B$10</f>
        <v>614.070256723896</v>
      </c>
      <c r="G91" s="48" t="n">
        <f aca="false">G90+$B$12*F90*G90/$B$10-$B$13*G90</f>
        <v>391.764927558747</v>
      </c>
      <c r="H91" s="48" t="n">
        <f aca="false">H90+$B$13*G90</f>
        <v>8994.16481571736</v>
      </c>
      <c r="I91" s="48" t="n">
        <f aca="false">F91+G91+H91</f>
        <v>10000</v>
      </c>
    </row>
    <row r="92" customFormat="false" ht="15" hidden="false" customHeight="false" outlineLevel="0" collapsed="false">
      <c r="E92" s="47" t="n">
        <v>74</v>
      </c>
      <c r="F92" s="48" t="n">
        <f aca="false">F91-$B$12*F91*G91/$B$10</f>
        <v>606.853121034653</v>
      </c>
      <c r="G92" s="48" t="n">
        <f aca="false">G91+$B$12*F91*G91/$B$10-$B$13*G91</f>
        <v>359.805570492115</v>
      </c>
      <c r="H92" s="48" t="n">
        <f aca="false">H91+$B$13*G91</f>
        <v>9033.34130847323</v>
      </c>
      <c r="I92" s="48" t="n">
        <f aca="false">F92+G92+H92</f>
        <v>10000</v>
      </c>
    </row>
    <row r="93" customFormat="false" ht="15" hidden="false" customHeight="false" outlineLevel="0" collapsed="false">
      <c r="E93" s="47" t="n">
        <v>75</v>
      </c>
      <c r="F93" s="48" t="n">
        <f aca="false">F92-$B$12*F92*G92/$B$10</f>
        <v>600.30264703209</v>
      </c>
      <c r="G93" s="48" t="n">
        <f aca="false">G92+$B$12*F92*G92/$B$10-$B$13*G92</f>
        <v>330.375487445467</v>
      </c>
      <c r="H93" s="48" t="n">
        <f aca="false">H92+$B$13*G92</f>
        <v>9069.32186552244</v>
      </c>
      <c r="I93" s="48" t="n">
        <f aca="false">F93+G93+H93</f>
        <v>10000</v>
      </c>
    </row>
    <row r="94" customFormat="false" ht="15" hidden="false" customHeight="false" outlineLevel="0" collapsed="false">
      <c r="E94" s="47" t="n">
        <v>76</v>
      </c>
      <c r="F94" s="48" t="n">
        <f aca="false">F93-$B$12*F93*G93/$B$10</f>
        <v>594.352888643249</v>
      </c>
      <c r="G94" s="48" t="n">
        <f aca="false">G93+$B$12*F93*G93/$B$10-$B$13*G93</f>
        <v>303.287697089762</v>
      </c>
      <c r="H94" s="48" t="n">
        <f aca="false">H93+$B$13*G93</f>
        <v>9102.35941426699</v>
      </c>
      <c r="I94" s="48" t="n">
        <f aca="false">F94+G94+H94</f>
        <v>10000</v>
      </c>
    </row>
    <row r="95" customFormat="false" ht="15" hidden="false" customHeight="false" outlineLevel="0" collapsed="false">
      <c r="E95" s="47" t="n">
        <v>77</v>
      </c>
      <c r="F95" s="48" t="n">
        <f aca="false">F94-$B$12*F94*G94/$B$10</f>
        <v>588.945091077591</v>
      </c>
      <c r="G95" s="48" t="n">
        <f aca="false">G94+$B$12*F94*G94/$B$10-$B$13*G94</f>
        <v>278.366724946443</v>
      </c>
      <c r="H95" s="48" t="n">
        <f aca="false">H94+$B$13*G94</f>
        <v>9132.68818397596</v>
      </c>
      <c r="I95" s="48" t="n">
        <f aca="false">F95+G95+H95</f>
        <v>10000</v>
      </c>
    </row>
    <row r="96" customFormat="false" ht="15" hidden="false" customHeight="false" outlineLevel="0" collapsed="false">
      <c r="E96" s="47" t="n">
        <v>78</v>
      </c>
      <c r="F96" s="48" t="n">
        <f aca="false">F95-$B$12*F95*G95/$B$10</f>
        <v>584.026809592294</v>
      </c>
      <c r="G96" s="48" t="n">
        <f aca="false">G95+$B$12*F95*G95/$B$10-$B$13*G95</f>
        <v>255.448333937095</v>
      </c>
      <c r="H96" s="48" t="n">
        <f aca="false">H95+$B$13*G95</f>
        <v>9160.52485647061</v>
      </c>
      <c r="I96" s="48" t="n">
        <f aca="false">F96+G96+H96</f>
        <v>10000</v>
      </c>
    </row>
    <row r="97" customFormat="false" ht="15" hidden="false" customHeight="false" outlineLevel="0" collapsed="false">
      <c r="E97" s="47" t="n">
        <v>79</v>
      </c>
      <c r="F97" s="48" t="n">
        <f aca="false">F96-$B$12*F96*G96/$B$10</f>
        <v>579.551149327746</v>
      </c>
      <c r="G97" s="48" t="n">
        <f aca="false">G96+$B$12*F96*G96/$B$10-$B$13*G96</f>
        <v>234.379160807934</v>
      </c>
      <c r="H97" s="48" t="n">
        <f aca="false">H96+$B$13*G96</f>
        <v>9186.06968986432</v>
      </c>
      <c r="I97" s="48" t="n">
        <f aca="false">F97+G97+H97</f>
        <v>10000</v>
      </c>
    </row>
    <row r="98" customFormat="false" ht="15" hidden="false" customHeight="false" outlineLevel="0" collapsed="false">
      <c r="E98" s="47" t="n">
        <v>80</v>
      </c>
      <c r="F98" s="48" t="n">
        <f aca="false">F97-$B$12*F97*G97/$B$10</f>
        <v>575.476107967004</v>
      </c>
      <c r="G98" s="48" t="n">
        <f aca="false">G97+$B$12*F97*G97/$B$10-$B$13*G97</f>
        <v>215.016286087882</v>
      </c>
      <c r="H98" s="48" t="n">
        <f aca="false">H97+$B$13*G97</f>
        <v>9209.50760594511</v>
      </c>
      <c r="I98" s="48" t="n">
        <f aca="false">F98+G98+H98</f>
        <v>10000</v>
      </c>
    </row>
    <row r="99" customFormat="false" ht="15" hidden="false" customHeight="false" outlineLevel="0" collapsed="false">
      <c r="E99" s="47" t="n">
        <v>81</v>
      </c>
      <c r="F99" s="48" t="n">
        <f aca="false">F98-$B$12*F98*G98/$B$10</f>
        <v>571.764005902983</v>
      </c>
      <c r="G99" s="48" t="n">
        <f aca="false">G98+$B$12*F98*G98/$B$10-$B$13*G98</f>
        <v>197.226759543115</v>
      </c>
      <c r="H99" s="48" t="n">
        <f aca="false">H98+$B$13*G98</f>
        <v>9231.0092345539</v>
      </c>
      <c r="I99" s="48" t="n">
        <f aca="false">F99+G99+H99</f>
        <v>10000</v>
      </c>
    </row>
    <row r="100" customFormat="false" ht="15" hidden="false" customHeight="false" outlineLevel="0" collapsed="false">
      <c r="E100" s="47" t="n">
        <v>82</v>
      </c>
      <c r="F100" s="48" t="n">
        <f aca="false">F99-$B$12*F99*G99/$B$10</f>
        <v>568.380991039754</v>
      </c>
      <c r="G100" s="48" t="n">
        <f aca="false">G99+$B$12*F99*G99/$B$10-$B$13*G99</f>
        <v>180.887098452033</v>
      </c>
      <c r="H100" s="48" t="n">
        <f aca="false">H99+$B$13*G99</f>
        <v>9250.73191050821</v>
      </c>
      <c r="I100" s="48" t="n">
        <f aca="false">F100+G100+H100</f>
        <v>10000</v>
      </c>
    </row>
    <row r="101" customFormat="false" ht="15" hidden="false" customHeight="false" outlineLevel="0" collapsed="false">
      <c r="E101" s="47" t="n">
        <v>83</v>
      </c>
      <c r="F101" s="48" t="n">
        <f aca="false">F100-$B$12*F100*G100/$B$10</f>
        <v>565.29660739122</v>
      </c>
      <c r="G101" s="48" t="n">
        <f aca="false">G100+$B$12*F100*G100/$B$10-$B$13*G100</f>
        <v>165.882772255364</v>
      </c>
      <c r="H101" s="48" t="n">
        <f aca="false">H100+$B$13*G100</f>
        <v>9268.82062035342</v>
      </c>
      <c r="I101" s="48" t="n">
        <f aca="false">F101+G101+H101</f>
        <v>10000</v>
      </c>
    </row>
    <row r="102" customFormat="false" ht="15" hidden="false" customHeight="false" outlineLevel="0" collapsed="false">
      <c r="E102" s="47" t="n">
        <v>84</v>
      </c>
      <c r="F102" s="48" t="n">
        <f aca="false">F101-$B$12*F101*G101/$B$10</f>
        <v>562.483418339802</v>
      </c>
      <c r="G102" s="48" t="n">
        <f aca="false">G101+$B$12*F101*G101/$B$10-$B$13*G101</f>
        <v>152.107684081246</v>
      </c>
      <c r="H102" s="48" t="n">
        <f aca="false">H101+$B$13*G101</f>
        <v>9285.40889757895</v>
      </c>
      <c r="I102" s="48" t="n">
        <f aca="false">F102+G102+H102</f>
        <v>10000</v>
      </c>
    </row>
    <row r="103" customFormat="false" ht="15" hidden="false" customHeight="false" outlineLevel="0" collapsed="false">
      <c r="E103" s="47" t="n">
        <v>85</v>
      </c>
      <c r="F103" s="48" t="n">
        <f aca="false">F102-$B$12*F102*G102/$B$10</f>
        <v>559.916676836869</v>
      </c>
      <c r="G103" s="48" t="n">
        <f aca="false">G102+$B$12*F102*G102/$B$10-$B$13*G102</f>
        <v>139.463657176054</v>
      </c>
      <c r="H103" s="48" t="n">
        <f aca="false">H102+$B$13*G102</f>
        <v>9300.61966598708</v>
      </c>
      <c r="I103" s="48" t="n">
        <f aca="false">F103+G103+H103</f>
        <v>10000</v>
      </c>
    </row>
    <row r="104" customFormat="false" ht="15" hidden="false" customHeight="false" outlineLevel="0" collapsed="false">
      <c r="E104" s="47" t="n">
        <v>86</v>
      </c>
      <c r="F104" s="48" t="n">
        <f aca="false">F103-$B$12*F103*G103/$B$10</f>
        <v>557.574036012903</v>
      </c>
      <c r="G104" s="48" t="n">
        <f aca="false">G103+$B$12*F103*G103/$B$10-$B$13*G103</f>
        <v>127.859932282415</v>
      </c>
      <c r="H104" s="48" t="n">
        <f aca="false">H103+$B$13*G103</f>
        <v>9314.56603170468</v>
      </c>
      <c r="I104" s="48" t="n">
        <f aca="false">F104+G104+H104</f>
        <v>10000</v>
      </c>
    </row>
    <row r="105" customFormat="false" ht="15" hidden="false" customHeight="false" outlineLevel="0" collapsed="false">
      <c r="E105" s="47" t="n">
        <v>87</v>
      </c>
      <c r="F105" s="48" t="n">
        <f aca="false">F104-$B$12*F104*G104/$B$10</f>
        <v>555.435294658291</v>
      </c>
      <c r="G105" s="48" t="n">
        <f aca="false">G104+$B$12*F104*G104/$B$10-$B$13*G104</f>
        <v>117.212680408784</v>
      </c>
      <c r="H105" s="48" t="n">
        <f aca="false">H104+$B$13*G104</f>
        <v>9327.35202493292</v>
      </c>
      <c r="I105" s="48" t="n">
        <f aca="false">F105+G105+H105</f>
        <v>10000</v>
      </c>
    </row>
    <row r="106" customFormat="false" ht="15" hidden="false" customHeight="false" outlineLevel="0" collapsed="false">
      <c r="E106" s="47" t="n">
        <v>88</v>
      </c>
      <c r="F106" s="48" t="n">
        <f aca="false">F105-$B$12*F105*G105/$B$10</f>
        <v>553.482172867875</v>
      </c>
      <c r="G106" s="48" t="n">
        <f aca="false">G105+$B$12*F105*G105/$B$10-$B$13*G105</f>
        <v>107.444534158322</v>
      </c>
      <c r="H106" s="48" t="n">
        <f aca="false">H105+$B$13*G105</f>
        <v>9339.0732929738</v>
      </c>
      <c r="I106" s="48" t="n">
        <f aca="false">F106+G106+H106</f>
        <v>10000</v>
      </c>
    </row>
    <row r="107" customFormat="false" ht="15" hidden="false" customHeight="false" outlineLevel="0" collapsed="false">
      <c r="E107" s="47" t="n">
        <v>89</v>
      </c>
      <c r="F107" s="48" t="n">
        <f aca="false">F106-$B$12*F106*G106/$B$10</f>
        <v>551.698113841013</v>
      </c>
      <c r="G107" s="48" t="n">
        <f aca="false">G106+$B$12*F106*G106/$B$10-$B$13*G106</f>
        <v>98.4841397693518</v>
      </c>
      <c r="H107" s="48" t="n">
        <f aca="false">H106+$B$13*G106</f>
        <v>9349.81774638964</v>
      </c>
      <c r="I107" s="48" t="n">
        <f aca="false">F107+G107+H107</f>
        <v>10000</v>
      </c>
    </row>
    <row r="108" customFormat="false" ht="15" hidden="false" customHeight="false" outlineLevel="0" collapsed="false">
      <c r="E108" s="47" t="n">
        <v>90</v>
      </c>
      <c r="F108" s="48" t="n">
        <f aca="false">F107-$B$12*F107*G107/$B$10</f>
        <v>550.068108416393</v>
      </c>
      <c r="G108" s="48" t="n">
        <f aca="false">G107+$B$12*F107*G107/$B$10-$B$13*G107</f>
        <v>90.2657312170368</v>
      </c>
      <c r="H108" s="48" t="n">
        <f aca="false">H107+$B$13*G107</f>
        <v>9359.66616036657</v>
      </c>
      <c r="I108" s="48" t="n">
        <f aca="false">F108+G108+H108</f>
        <v>10000</v>
      </c>
    </row>
    <row r="109" customFormat="false" ht="15" hidden="false" customHeight="false" outlineLevel="0" collapsed="false">
      <c r="E109" s="47" t="n">
        <v>91</v>
      </c>
      <c r="F109" s="48" t="n">
        <f aca="false">F108-$B$12*F108*G108/$B$10</f>
        <v>548.578539415632</v>
      </c>
      <c r="G109" s="48" t="n">
        <f aca="false">G108+$B$12*F108*G108/$B$10-$B$13*G108</f>
        <v>82.7287270960944</v>
      </c>
      <c r="H109" s="48" t="n">
        <f aca="false">H108+$B$13*G108</f>
        <v>9368.69273348828</v>
      </c>
      <c r="I109" s="48" t="n">
        <f aca="false">F109+G109+H109</f>
        <v>10000</v>
      </c>
    </row>
    <row r="110" customFormat="false" ht="15" hidden="false" customHeight="false" outlineLevel="0" collapsed="false">
      <c r="E110" s="47" t="n">
        <v>92</v>
      </c>
      <c r="F110" s="48" t="n">
        <f aca="false">F109-$B$12*F109*G109/$B$10</f>
        <v>547.217043287289</v>
      </c>
      <c r="G110" s="48" t="n">
        <f aca="false">G109+$B$12*F109*G109/$B$10-$B$13*G109</f>
        <v>75.8173505148277</v>
      </c>
      <c r="H110" s="48" t="n">
        <f aca="false">H109+$B$13*G109</f>
        <v>9376.96560619788</v>
      </c>
      <c r="I110" s="48" t="n">
        <f aca="false">F110+G110+H110</f>
        <v>10000</v>
      </c>
    </row>
    <row r="111" customFormat="false" ht="15" hidden="false" customHeight="false" outlineLevel="0" collapsed="false">
      <c r="E111" s="47" t="n">
        <v>93</v>
      </c>
      <c r="F111" s="48" t="n">
        <f aca="false">F110-$B$12*F110*G110/$B$10</f>
        <v>545.972386895931</v>
      </c>
      <c r="G111" s="48" t="n">
        <f aca="false">G110+$B$12*F110*G110/$B$10-$B$13*G110</f>
        <v>69.4802718547029</v>
      </c>
      <c r="H111" s="48" t="n">
        <f aca="false">H110+$B$13*G110</f>
        <v>9384.54734124937</v>
      </c>
      <c r="I111" s="48" t="n">
        <f aca="false">F111+G111+H111</f>
        <v>10000</v>
      </c>
    </row>
    <row r="112" customFormat="false" ht="15" hidden="false" customHeight="false" outlineLevel="0" collapsed="false">
      <c r="E112" s="47" t="n">
        <v>94</v>
      </c>
      <c r="F112" s="48" t="n">
        <f aca="false">F111-$B$12*F111*G111/$B$10</f>
        <v>544.83435759993</v>
      </c>
      <c r="G112" s="48" t="n">
        <f aca="false">G111+$B$12*F111*G111/$B$10-$B$13*G111</f>
        <v>63.6702739652333</v>
      </c>
      <c r="H112" s="48" t="n">
        <f aca="false">H111+$B$13*G111</f>
        <v>9391.49536843484</v>
      </c>
      <c r="I112" s="48" t="n">
        <f aca="false">F112+G112+H112</f>
        <v>10000</v>
      </c>
    </row>
    <row r="113" customFormat="false" ht="15" hidden="false" customHeight="false" outlineLevel="0" collapsed="false">
      <c r="E113" s="47" t="n">
        <v>95</v>
      </c>
      <c r="F113" s="48" t="n">
        <f aca="false">F112-$B$12*F112*G112/$B$10</f>
        <v>543.793665015509</v>
      </c>
      <c r="G113" s="48" t="n">
        <f aca="false">G112+$B$12*F112*G112/$B$10-$B$13*G112</f>
        <v>58.3439391531318</v>
      </c>
      <c r="H113" s="48" t="n">
        <f aca="false">H112+$B$13*G112</f>
        <v>9397.86239583136</v>
      </c>
      <c r="I113" s="48" t="n">
        <f aca="false">F113+G113+H113</f>
        <v>10000</v>
      </c>
    </row>
    <row r="114" customFormat="false" ht="15" hidden="false" customHeight="false" outlineLevel="0" collapsed="false">
      <c r="E114" s="47" t="n">
        <v>96</v>
      </c>
      <c r="F114" s="48" t="n">
        <f aca="false">F113-$B$12*F113*G113/$B$10</f>
        <v>542.841853080403</v>
      </c>
      <c r="G114" s="48" t="n">
        <f aca="false">G113+$B$12*F113*G113/$B$10-$B$13*G113</f>
        <v>53.4613571729243</v>
      </c>
      <c r="H114" s="48" t="n">
        <f aca="false">H113+$B$13*G113</f>
        <v>9403.69678974667</v>
      </c>
      <c r="I114" s="48" t="n">
        <f aca="false">F114+G114+H114</f>
        <v>10000</v>
      </c>
    </row>
    <row r="115" customFormat="false" ht="15" hidden="false" customHeight="false" outlineLevel="0" collapsed="false">
      <c r="E115" s="47" t="n">
        <v>97</v>
      </c>
      <c r="F115" s="48" t="n">
        <f aca="false">F114-$B$12*F114*G114/$B$10</f>
        <v>541.971221214525</v>
      </c>
      <c r="G115" s="48" t="n">
        <f aca="false">G114+$B$12*F114*G114/$B$10-$B$13*G114</f>
        <v>48.9858533215102</v>
      </c>
      <c r="H115" s="48" t="n">
        <f aca="false">H114+$B$13*G114</f>
        <v>9409.04292546397</v>
      </c>
      <c r="I115" s="48" t="n">
        <f aca="false">F115+G115+H115</f>
        <v>10000</v>
      </c>
    </row>
    <row r="116" customFormat="false" ht="15" hidden="false" customHeight="false" outlineLevel="0" collapsed="false">
      <c r="E116" s="47" t="n">
        <v>98</v>
      </c>
      <c r="F116" s="48" t="n">
        <f aca="false">F115-$B$12*F115*G115/$B$10</f>
        <v>541.174753532118</v>
      </c>
      <c r="G116" s="48" t="n">
        <f aca="false">G115+$B$12*F115*G115/$B$10-$B$13*G115</f>
        <v>44.883735671766</v>
      </c>
      <c r="H116" s="48" t="n">
        <f aca="false">H115+$B$13*G115</f>
        <v>9413.94151079612</v>
      </c>
      <c r="I116" s="48" t="n">
        <f aca="false">F116+G116+H116</f>
        <v>10000</v>
      </c>
    </row>
    <row r="117" customFormat="false" ht="15" hidden="false" customHeight="false" outlineLevel="0" collapsed="false">
      <c r="E117" s="47" t="n">
        <v>99</v>
      </c>
      <c r="F117" s="48" t="n">
        <f aca="false">F116-$B$12*F116*G116/$B$10</f>
        <v>540.446055194425</v>
      </c>
      <c r="G117" s="48" t="n">
        <f aca="false">G116+$B$12*F116*G116/$B$10-$B$13*G116</f>
        <v>41.1240604422825</v>
      </c>
      <c r="H117" s="48" t="n">
        <f aca="false">H116+$B$13*G116</f>
        <v>9418.4298843633</v>
      </c>
      <c r="I117" s="48" t="n">
        <f aca="false">F117+G117+H117</f>
        <v>10000</v>
      </c>
    </row>
    <row r="118" customFormat="false" ht="15" hidden="false" customHeight="false" outlineLevel="0" collapsed="false">
      <c r="E118" s="47" t="n">
        <v>100</v>
      </c>
      <c r="F118" s="48" t="n">
        <f aca="false">F117-$B$12*F117*G117/$B$10</f>
        <v>539.779295107237</v>
      </c>
      <c r="G118" s="48" t="n">
        <f aca="false">G117+$B$12*F117*G117/$B$10-$B$13*G117</f>
        <v>37.6784144852425</v>
      </c>
      <c r="H118" s="48" t="n">
        <f aca="false">H117+$B$13*G117</f>
        <v>9422.54229040752</v>
      </c>
      <c r="I118" s="48" t="n">
        <f aca="false">F118+G118+H118</f>
        <v>10000</v>
      </c>
    </row>
  </sheetData>
  <mergeCells count="7">
    <mergeCell ref="A1:N1"/>
    <mergeCell ref="A2:N2"/>
    <mergeCell ref="A5:I5"/>
    <mergeCell ref="A6:I6"/>
    <mergeCell ref="A7:I7"/>
    <mergeCell ref="E16:I16"/>
    <mergeCell ref="A26:B30"/>
  </mergeCells>
  <conditionalFormatting sqref="B17">
    <cfRule type="expression" priority="2" aboveAverage="0" equalAverage="0" bottom="0" percent="0" rank="0" text="" dxfId="6">
      <formula>$B$16&gt;1</formula>
    </cfRule>
  </conditionalFormatting>
  <conditionalFormatting sqref="E18:I118">
    <cfRule type="expression" priority="3" aboveAverage="0" equalAverage="0" bottom="0" percent="0" rank="0" text="" dxfId="6">
      <formula>$E18=$B$20</formula>
    </cfRule>
  </conditionalFormatting>
  <dataValidations count="4">
    <dataValidation allowBlank="false" error="Nüfus 2 veya daha büyük bir tam sayı olmalıdır." errorStyle="stop" errorTitle="Hatalı giriş" operator="between" prompt="Nüfus 2 veya daha büyük bir tam sayı olmalıdır." promptTitle="Nüfus" showDropDown="false" showErrorMessage="true" showInputMessage="true" sqref="B10" type="whole">
      <formula1>2</formula1>
      <formula2>1000000000</formula2>
    </dataValidation>
    <dataValidation allowBlank="false" error="En az 1 kişi olmalı ve nüfustan küçük olmalıdır." errorStyle="stop" errorTitle="Hatalı giriş" operator="between" prompt="En az 1 kişi olmalı ve nüfustan küçük olmalıdır." promptTitle="İlk hasta sayısı" showDropDown="false" showErrorMessage="true" showInputMessage="true" sqref="B11" type="whole">
      <formula1>1</formula1>
      <formula2>1000000000</formula2>
    </dataValidation>
    <dataValidation allowBlank="false" error="β, 0 ile 1 arasında bir sayı olmalıdır (ör. 0,3)." errorStyle="stop" errorTitle="Hatalı giriş" operator="between" prompt="β, 0 ile 1 arasında bir sayı olmalıdır (ör. 0,3)." promptTitle="Bulaşma oranı β" showDropDown="false" showErrorMessage="true" showInputMessage="true" sqref="B12" type="decimal">
      <formula1>0</formula1>
      <formula2>1</formula2>
    </dataValidation>
    <dataValidation allowBlank="false" error="γ, 0 ile 1 arasında bir sayı olmalıdır (ör. 0,1)." errorStyle="stop" errorTitle="Hatalı giriş" operator="between" prompt="γ, 0 ile 1 arasında bir sayı olmalıdır (ör. 0,1)." promptTitle="İyileşme oranı γ" showDropDown="false" showErrorMessage="true" showInputMessage="true" sqref="B13" type="decimal">
      <formula1>0.001</formula1>
      <formula2>1</formula2>
    </dataValidation>
  </dataValidations>
  <hyperlinks>
    <hyperlink ref="A3" location="'Ana Sayfa'!A1" display="← Ana Sayfaya Dö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2026-10-28T07:05:20Z</dcterms:created>
  <dc:creator>openpyxl</dc:creator>
  <dc:description/>
  <dc:language>en-US</dc:language>
  <cp:lastModifiedBy/>
  <dcterms:modified xsi:type="dcterms:W3CDTF">2026-10-28T07:05:21Z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